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SYN\SynologyDrive\School\教学相关new\数学建模竞赛培训\2026年暑假\暑假出题\优化题\"/>
    </mc:Choice>
  </mc:AlternateContent>
  <bookViews>
    <workbookView windowWidth="22188" windowHeight="9180" activeTab="5"/>
  </bookViews>
  <sheets>
    <sheet name="菜品基本经营参数" sheetId="1" r:id="rId1"/>
    <sheet name="批量生产参数" sheetId="2" r:id="rId2"/>
    <sheet name="主要原料消耗" sheetId="3" r:id="rId3"/>
    <sheet name="时段生产资源" sheetId="4" r:id="rId4"/>
    <sheet name="当日原料供应" sheetId="5" r:id="rId5"/>
    <sheet name="参数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<sst xmlns="http://schemas.openxmlformats.org/spreadsheetml/2006/main" count="130" uniqueCount="74">
  <si>
    <t>菜品编号</t>
  </si>
  <si>
    <t>菜品名称</t>
  </si>
  <si>
    <t>类别</t>
  </si>
  <si>
    <t>售价(元/份)</t>
  </si>
  <si>
    <t>原料成本(元/份)</t>
  </si>
  <si>
    <t>其他变动成本(元/份)</t>
  </si>
  <si>
    <r>
      <t>单位生产成本</t>
    </r>
    <r>
      <rPr>
        <b/>
        <sz val="11"/>
        <color rgb="FFFFFFFF"/>
        <rFont val="Carlito"/>
        <charset val="134"/>
      </rPr>
      <t>(</t>
    </r>
    <r>
      <rPr>
        <b/>
        <sz val="11"/>
        <color rgb="FFFFFFFF"/>
        <rFont val="宋体"/>
        <charset val="134"/>
      </rPr>
      <t>元</t>
    </r>
    <r>
      <rPr>
        <b/>
        <sz val="11"/>
        <color rgb="FFFFFFFF"/>
        <rFont val="Carlito"/>
        <charset val="134"/>
      </rPr>
      <t>/</t>
    </r>
    <r>
      <rPr>
        <b/>
        <sz val="11"/>
        <color rgb="FFFFFFFF"/>
        <rFont val="宋体"/>
        <charset val="134"/>
      </rPr>
      <t>份</t>
    </r>
    <r>
      <rPr>
        <b/>
        <sz val="11"/>
        <color rgb="FFFFFFFF"/>
        <rFont val="Carlito"/>
        <charset val="134"/>
      </rPr>
      <t>)</t>
    </r>
  </si>
  <si>
    <t>剩余处理损失(元/份)</t>
  </si>
  <si>
    <t>单位缺供综合折算损失(元/份)</t>
  </si>
  <si>
    <t>D01</t>
  </si>
  <si>
    <t>宫保鸡丁</t>
  </si>
  <si>
    <t>荤菜</t>
  </si>
  <si>
    <t>D02</t>
  </si>
  <si>
    <t>红烧肉</t>
  </si>
  <si>
    <t>D03</t>
  </si>
  <si>
    <t>鱼香肉丝</t>
  </si>
  <si>
    <t>D04</t>
  </si>
  <si>
    <t>麻婆豆腐</t>
  </si>
  <si>
    <t>素菜</t>
  </si>
  <si>
    <t>D05</t>
  </si>
  <si>
    <t>番茄炒蛋</t>
  </si>
  <si>
    <t>D06</t>
  </si>
  <si>
    <t>青椒土豆丝</t>
  </si>
  <si>
    <t>D07</t>
  </si>
  <si>
    <t>香菇青菜</t>
  </si>
  <si>
    <t>D08</t>
  </si>
  <si>
    <t>水煮鸡片</t>
  </si>
  <si>
    <t>D09</t>
  </si>
  <si>
    <t>糖醋里脊</t>
  </si>
  <si>
    <t>D10</t>
  </si>
  <si>
    <t>西红柿牛腩</t>
  </si>
  <si>
    <t>每标准生产批次份数(份/批)</t>
  </si>
  <si>
    <t>人工有效作业量(人·分钟/批)</t>
  </si>
  <si>
    <t>主灶占用量(灶·分钟/批)</t>
  </si>
  <si>
    <t>单时段最大生产批次(批)</t>
  </si>
  <si>
    <t>单时段最大产量(份)</t>
  </si>
  <si>
    <t>肉禽类消耗(kg/批)</t>
  </si>
  <si>
    <t>蔬菜类消耗(kg/批)</t>
  </si>
  <si>
    <t>蛋豆类消耗(kg/批)</t>
  </si>
  <si>
    <t>时段</t>
  </si>
  <si>
    <t>可参与后厨人数(人)</t>
  </si>
  <si>
    <t>单人有效备餐时间(分钟)</t>
  </si>
  <si>
    <t>人工可用量(人·分钟)</t>
  </si>
  <si>
    <t>可用主灶数(个)</t>
  </si>
  <si>
    <t>单灶有效使用时间(分钟)</t>
  </si>
  <si>
    <t>主灶可用量(灶·分钟)</t>
  </si>
  <si>
    <t>说明</t>
  </si>
  <si>
    <t>午餐</t>
  </si>
  <si>
    <t>有效时间已扣除清洁、交接、等待等不能用于核心备餐的时间</t>
  </si>
  <si>
    <t>晚餐</t>
  </si>
  <si>
    <t>原料类别</t>
  </si>
  <si>
    <t>当日可用量(kg)</t>
  </si>
  <si>
    <t>肉禽类</t>
  </si>
  <si>
    <t>已计入开餐前可用库存及当日到货量</t>
  </si>
  <si>
    <t>蔬菜类</t>
  </si>
  <si>
    <t>蛋豆类</t>
  </si>
  <si>
    <t>鸡蛋、豆腐及相关蛋豆制品按统一重量口径折算</t>
  </si>
  <si>
    <t>项目</t>
  </si>
  <si>
    <t>背景口径</t>
  </si>
  <si>
    <t>本附件用于待决策日的备餐优化。所有经营参数均为经脱敏和适当处理后的规划口径。</t>
  </si>
  <si>
    <t>单位生产成本</t>
  </si>
  <si>
    <t>由“原料成本+其他变动成本”构成；其他变动成本包括与产量相关的能源、耗材等，固定工资不重复计入。</t>
  </si>
  <si>
    <t>剩余处理损失</t>
  </si>
  <si>
    <t>每剩余1份菜品，在已发生生产成本之外产生的额外处理、折价或报损损失。</t>
  </si>
  <si>
    <t>单位缺供综合折算损失</t>
  </si>
  <si>
    <t>用于综合衡量缺供造成的经营收益损失、顾客转移、满意度及管理考核等影响，是经营决策中的等价成本参数，并非实际现金损失。</t>
  </si>
  <si>
    <t>标准生产批次</t>
  </si>
  <si>
    <t>表示后厨在既定工艺和生产组织条件下，可独立追加或减少的一次标准产量单位，不表示单锅的最大容量。不同菜品的标准生产批次份数可能不同。</t>
  </si>
  <si>
    <t>人工有效作业量</t>
  </si>
  <si>
    <t>按累计“人·分钟”计量。某菜品每批人工有效作业量，表示生产一个标准生产批次所需的累计人工有效作业时间。</t>
  </si>
  <si>
    <t>主灶占用量</t>
  </si>
  <si>
    <t>按累计“灶·分钟”计量。某菜品每批主灶占用量，表示生产一个标准生产批次所需的主灶累计占用时间。</t>
  </si>
  <si>
    <t>主要原料消耗</t>
  </si>
  <si>
    <t>肉禽类、蔬菜类和蛋豆类消耗量均按一个标准生产批次计量，单位为kg/批。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</si>
</sst>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EF5FA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3" borderId="0" xfId="49" applyNumberFormat="1" applyFont="1" applyFill="1" applyBorder="1" applyAlignment="1">
      <alignment horizontal="left" vertical="center"/>
    </xf>
    <xf numFmtId="0" fontId="0" fillId="3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horizontal="left" vertical="center"/>
    </xf>
    <xf numFmtId="0" fontId="0" fillId="0" borderId="0" xfId="49" applyNumberFormat="1" applyFont="1" applyFill="1" applyBorder="1" applyAlignment="1">
      <alignment vertical="center" wrapText="1"/>
    </xf>
    <xf numFmtId="0" fontId="0" fillId="4" borderId="0" xfId="49" applyNumberFormat="1" applyFont="1" applyFill="1" applyBorder="1" applyAlignment="1">
      <alignment horizontal="center" vertical="center"/>
    </xf>
    <xf numFmtId="0" fontId="0" fillId="4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horizontal="center" vertical="center"/>
    </xf>
    <xf numFmtId="176" fontId="0" fillId="4" borderId="0" xfId="49" applyNumberFormat="1" applyFont="1" applyFill="1" applyBorder="1" applyAlignment="1">
      <alignment horizontal="center" vertical="center"/>
    </xf>
    <xf numFmtId="176" fontId="0" fillId="0" borderId="0" xfId="49" applyNumberFormat="1" applyFont="1" applyFill="1" applyBorder="1" applyAlignment="1">
      <alignment horizontal="center" vertical="center"/>
    </xf>
    <xf numFmtId="1" fontId="0" fillId="4" borderId="0" xfId="49" applyNumberFormat="1" applyFont="1" applyFill="1" applyBorder="1" applyAlignment="1">
      <alignment horizontal="center" vertical="center"/>
    </xf>
    <xf numFmtId="1" fontId="0" fillId="0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 wrapText="1"/>
    </xf>
    <xf numFmtId="2" fontId="0" fillId="4" borderId="0" xfId="49" applyNumberFormat="1" applyFont="1" applyFill="1" applyBorder="1" applyAlignment="1">
      <alignment horizontal="right" vertical="center"/>
    </xf>
    <xf numFmtId="2" fontId="0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"/>
  <sheetViews>
    <sheetView workbookViewId="0">
      <selection activeCell="I9" sqref="I9"/>
    </sheetView>
  </sheetViews>
  <sheetFormatPr defaultColWidth="9" defaultRowHeight="13.8"/>
  <cols>
    <col min="1" max="1" width="11" customWidth="1"/>
    <col min="2" max="2" width="16" customWidth="1"/>
    <col min="3" max="3" width="9" customWidth="1"/>
    <col min="4" max="4" width="12" customWidth="1"/>
    <col min="5" max="5" width="15" customWidth="1"/>
    <col min="6" max="6" width="18" customWidth="1"/>
    <col min="7" max="7" width="21.1" customWidth="1"/>
    <col min="8" max="8" width="18" customWidth="1"/>
    <col min="9" max="9" width="24" customWidth="1"/>
  </cols>
  <sheetData>
    <row r="1" ht="32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" t="s">
        <v>7</v>
      </c>
      <c r="I1" s="1" t="s">
        <v>8</v>
      </c>
    </row>
    <row r="2" spans="1:9">
      <c r="A2" s="6" t="s">
        <v>9</v>
      </c>
      <c r="B2" s="6" t="s">
        <v>10</v>
      </c>
      <c r="C2" s="6" t="s">
        <v>11</v>
      </c>
      <c r="D2" s="14">
        <v>14</v>
      </c>
      <c r="E2" s="14">
        <v>5.7</v>
      </c>
      <c r="F2" s="14">
        <v>1.1</v>
      </c>
      <c r="G2" s="14">
        <f t="shared" ref="G2:G11" si="0">E2+F2</f>
        <v>6.8</v>
      </c>
      <c r="H2" s="14">
        <v>1.2</v>
      </c>
      <c r="I2" s="14">
        <v>4.5</v>
      </c>
    </row>
    <row r="3" spans="1:9">
      <c r="A3" s="8" t="s">
        <v>12</v>
      </c>
      <c r="B3" s="8" t="s">
        <v>13</v>
      </c>
      <c r="C3" s="8" t="s">
        <v>11</v>
      </c>
      <c r="D3" s="15">
        <v>16</v>
      </c>
      <c r="E3" s="15">
        <v>8.3</v>
      </c>
      <c r="F3" s="15">
        <v>1</v>
      </c>
      <c r="G3" s="15">
        <f t="shared" si="0"/>
        <v>9.3</v>
      </c>
      <c r="H3" s="15">
        <v>1.8</v>
      </c>
      <c r="I3" s="15">
        <v>5.5</v>
      </c>
    </row>
    <row r="4" spans="1:9">
      <c r="A4" s="6" t="s">
        <v>14</v>
      </c>
      <c r="B4" s="6" t="s">
        <v>15</v>
      </c>
      <c r="C4" s="6" t="s">
        <v>11</v>
      </c>
      <c r="D4" s="14">
        <v>13</v>
      </c>
      <c r="E4" s="14">
        <v>5.4</v>
      </c>
      <c r="F4" s="14">
        <v>1.1</v>
      </c>
      <c r="G4" s="14">
        <f t="shared" si="0"/>
        <v>6.5</v>
      </c>
      <c r="H4" s="14">
        <v>1.3</v>
      </c>
      <c r="I4" s="14">
        <v>4.5</v>
      </c>
    </row>
    <row r="5" spans="1:9">
      <c r="A5" s="8" t="s">
        <v>16</v>
      </c>
      <c r="B5" s="8" t="s">
        <v>17</v>
      </c>
      <c r="C5" s="8" t="s">
        <v>18</v>
      </c>
      <c r="D5" s="15">
        <v>9</v>
      </c>
      <c r="E5" s="15">
        <v>2.5</v>
      </c>
      <c r="F5" s="15">
        <v>0.9</v>
      </c>
      <c r="G5" s="15">
        <f t="shared" si="0"/>
        <v>3.4</v>
      </c>
      <c r="H5" s="15">
        <v>0.8</v>
      </c>
      <c r="I5" s="15">
        <v>3</v>
      </c>
    </row>
    <row r="6" spans="1:9">
      <c r="A6" s="6" t="s">
        <v>19</v>
      </c>
      <c r="B6" s="6" t="s">
        <v>20</v>
      </c>
      <c r="C6" s="6" t="s">
        <v>18</v>
      </c>
      <c r="D6" s="14">
        <v>10</v>
      </c>
      <c r="E6" s="14">
        <v>3.1</v>
      </c>
      <c r="F6" s="14">
        <v>0.9</v>
      </c>
      <c r="G6" s="14">
        <f t="shared" si="0"/>
        <v>4</v>
      </c>
      <c r="H6" s="14">
        <v>0.8</v>
      </c>
      <c r="I6" s="14">
        <v>3</v>
      </c>
    </row>
    <row r="7" spans="1:9">
      <c r="A7" s="8" t="s">
        <v>21</v>
      </c>
      <c r="B7" s="8" t="s">
        <v>22</v>
      </c>
      <c r="C7" s="8" t="s">
        <v>18</v>
      </c>
      <c r="D7" s="15">
        <v>8</v>
      </c>
      <c r="E7" s="15">
        <v>2.2</v>
      </c>
      <c r="F7" s="15">
        <v>0.8</v>
      </c>
      <c r="G7" s="15">
        <f t="shared" si="0"/>
        <v>3</v>
      </c>
      <c r="H7" s="15">
        <v>0.7</v>
      </c>
      <c r="I7" s="15">
        <v>2.5</v>
      </c>
    </row>
    <row r="8" spans="1:9">
      <c r="A8" s="6" t="s">
        <v>23</v>
      </c>
      <c r="B8" s="6" t="s">
        <v>24</v>
      </c>
      <c r="C8" s="6" t="s">
        <v>18</v>
      </c>
      <c r="D8" s="14">
        <v>8</v>
      </c>
      <c r="E8" s="14">
        <v>2.5</v>
      </c>
      <c r="F8" s="14">
        <v>0.8</v>
      </c>
      <c r="G8" s="14">
        <f t="shared" si="0"/>
        <v>3.3</v>
      </c>
      <c r="H8" s="14">
        <v>0.7</v>
      </c>
      <c r="I8" s="14">
        <v>2.5</v>
      </c>
    </row>
    <row r="9" spans="1:9">
      <c r="A9" s="8" t="s">
        <v>25</v>
      </c>
      <c r="B9" s="8" t="s">
        <v>26</v>
      </c>
      <c r="C9" s="8" t="s">
        <v>11</v>
      </c>
      <c r="D9" s="15">
        <v>15</v>
      </c>
      <c r="E9" s="15">
        <v>6.6</v>
      </c>
      <c r="F9" s="15">
        <v>1.2</v>
      </c>
      <c r="G9" s="15">
        <f t="shared" si="0"/>
        <v>7.8</v>
      </c>
      <c r="H9" s="15">
        <v>1.4</v>
      </c>
      <c r="I9" s="15">
        <v>5</v>
      </c>
    </row>
    <row r="10" spans="1:9">
      <c r="A10" s="6" t="s">
        <v>27</v>
      </c>
      <c r="B10" s="6" t="s">
        <v>28</v>
      </c>
      <c r="C10" s="6" t="s">
        <v>11</v>
      </c>
      <c r="D10" s="14">
        <v>14</v>
      </c>
      <c r="E10" s="14">
        <v>6.2</v>
      </c>
      <c r="F10" s="14">
        <v>1.2</v>
      </c>
      <c r="G10" s="14">
        <f t="shared" si="0"/>
        <v>7.4</v>
      </c>
      <c r="H10" s="14">
        <v>1.3</v>
      </c>
      <c r="I10" s="14">
        <v>4.5</v>
      </c>
    </row>
    <row r="11" spans="1:9">
      <c r="A11" s="8" t="s">
        <v>29</v>
      </c>
      <c r="B11" s="8" t="s">
        <v>30</v>
      </c>
      <c r="C11" s="8" t="s">
        <v>11</v>
      </c>
      <c r="D11" s="15">
        <v>17</v>
      </c>
      <c r="E11" s="15">
        <v>8.9</v>
      </c>
      <c r="F11" s="15">
        <v>1.2</v>
      </c>
      <c r="G11" s="15">
        <f t="shared" si="0"/>
        <v>10.1</v>
      </c>
      <c r="H11" s="15">
        <v>1.9</v>
      </c>
      <c r="I11" s="15">
        <v>5.5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1"/>
  <sheetViews>
    <sheetView workbookViewId="0">
      <selection activeCell="A1" sqref="A1"/>
    </sheetView>
  </sheetViews>
  <sheetFormatPr defaultColWidth="9" defaultRowHeight="13.8" outlineLevelCol="6"/>
  <cols>
    <col min="1" max="1" width="11" customWidth="1"/>
    <col min="2" max="2" width="16" customWidth="1"/>
    <col min="3" max="3" width="29.4" customWidth="1"/>
    <col min="4" max="4" width="25" customWidth="1"/>
    <col min="5" max="5" width="23" customWidth="1"/>
    <col min="6" max="6" width="22" customWidth="1"/>
    <col min="7" max="7" width="18" customWidth="1"/>
  </cols>
  <sheetData>
    <row r="1" ht="34" customHeight="1" spans="1:7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>
      <c r="A2" s="6" t="s">
        <v>9</v>
      </c>
      <c r="B2" s="6" t="s">
        <v>10</v>
      </c>
      <c r="C2" s="11">
        <v>12</v>
      </c>
      <c r="D2" s="11">
        <v>6</v>
      </c>
      <c r="E2" s="11">
        <v>6</v>
      </c>
      <c r="F2" s="11">
        <v>16</v>
      </c>
      <c r="G2" s="11">
        <f t="shared" ref="G2:G11" si="0">C2*F2</f>
        <v>192</v>
      </c>
    </row>
    <row r="3" spans="1:7">
      <c r="A3" s="8" t="s">
        <v>12</v>
      </c>
      <c r="B3" s="8" t="s">
        <v>13</v>
      </c>
      <c r="C3" s="12">
        <v>15</v>
      </c>
      <c r="D3" s="12">
        <v>6</v>
      </c>
      <c r="E3" s="12">
        <v>11</v>
      </c>
      <c r="F3" s="12">
        <v>12</v>
      </c>
      <c r="G3" s="12">
        <f t="shared" si="0"/>
        <v>180</v>
      </c>
    </row>
    <row r="4" spans="1:7">
      <c r="A4" s="6" t="s">
        <v>14</v>
      </c>
      <c r="B4" s="6" t="s">
        <v>15</v>
      </c>
      <c r="C4" s="11">
        <v>12</v>
      </c>
      <c r="D4" s="11">
        <v>6</v>
      </c>
      <c r="E4" s="11">
        <v>6</v>
      </c>
      <c r="F4" s="11">
        <v>15</v>
      </c>
      <c r="G4" s="11">
        <f t="shared" si="0"/>
        <v>180</v>
      </c>
    </row>
    <row r="5" spans="1:7">
      <c r="A5" s="8" t="s">
        <v>16</v>
      </c>
      <c r="B5" s="8" t="s">
        <v>17</v>
      </c>
      <c r="C5" s="12">
        <v>15</v>
      </c>
      <c r="D5" s="12">
        <v>5</v>
      </c>
      <c r="E5" s="12">
        <v>5</v>
      </c>
      <c r="F5" s="12">
        <v>13</v>
      </c>
      <c r="G5" s="12">
        <f t="shared" si="0"/>
        <v>195</v>
      </c>
    </row>
    <row r="6" spans="1:7">
      <c r="A6" s="6" t="s">
        <v>19</v>
      </c>
      <c r="B6" s="6" t="s">
        <v>20</v>
      </c>
      <c r="C6" s="11">
        <v>15</v>
      </c>
      <c r="D6" s="11">
        <v>5</v>
      </c>
      <c r="E6" s="11">
        <v>5</v>
      </c>
      <c r="F6" s="11">
        <v>13</v>
      </c>
      <c r="G6" s="11">
        <f t="shared" si="0"/>
        <v>195</v>
      </c>
    </row>
    <row r="7" spans="1:7">
      <c r="A7" s="8" t="s">
        <v>21</v>
      </c>
      <c r="B7" s="8" t="s">
        <v>22</v>
      </c>
      <c r="C7" s="12">
        <v>15</v>
      </c>
      <c r="D7" s="12">
        <v>5</v>
      </c>
      <c r="E7" s="12">
        <v>5</v>
      </c>
      <c r="F7" s="12">
        <v>13</v>
      </c>
      <c r="G7" s="12">
        <f t="shared" si="0"/>
        <v>195</v>
      </c>
    </row>
    <row r="8" spans="1:7">
      <c r="A8" s="6" t="s">
        <v>23</v>
      </c>
      <c r="B8" s="6" t="s">
        <v>24</v>
      </c>
      <c r="C8" s="11">
        <v>12</v>
      </c>
      <c r="D8" s="11">
        <v>5</v>
      </c>
      <c r="E8" s="11">
        <v>4</v>
      </c>
      <c r="F8" s="11">
        <v>12</v>
      </c>
      <c r="G8" s="11">
        <f t="shared" si="0"/>
        <v>144</v>
      </c>
    </row>
    <row r="9" spans="1:7">
      <c r="A9" s="8" t="s">
        <v>25</v>
      </c>
      <c r="B9" s="8" t="s">
        <v>26</v>
      </c>
      <c r="C9" s="12">
        <v>12</v>
      </c>
      <c r="D9" s="12">
        <v>6</v>
      </c>
      <c r="E9" s="12">
        <v>6</v>
      </c>
      <c r="F9" s="12">
        <v>15</v>
      </c>
      <c r="G9" s="12">
        <f t="shared" si="0"/>
        <v>180</v>
      </c>
    </row>
    <row r="10" spans="1:7">
      <c r="A10" s="6" t="s">
        <v>27</v>
      </c>
      <c r="B10" s="6" t="s">
        <v>28</v>
      </c>
      <c r="C10" s="11">
        <v>10</v>
      </c>
      <c r="D10" s="11">
        <v>5</v>
      </c>
      <c r="E10" s="11">
        <v>5</v>
      </c>
      <c r="F10" s="11">
        <v>15</v>
      </c>
      <c r="G10" s="11">
        <f t="shared" si="0"/>
        <v>150</v>
      </c>
    </row>
    <row r="11" spans="1:7">
      <c r="A11" s="8" t="s">
        <v>29</v>
      </c>
      <c r="B11" s="8" t="s">
        <v>30</v>
      </c>
      <c r="C11" s="12">
        <v>15</v>
      </c>
      <c r="D11" s="12">
        <v>6</v>
      </c>
      <c r="E11" s="12">
        <v>12</v>
      </c>
      <c r="F11" s="12">
        <v>12</v>
      </c>
      <c r="G11" s="12">
        <f t="shared" si="0"/>
        <v>180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1"/>
  <sheetViews>
    <sheetView workbookViewId="0">
      <selection activeCell="A1" sqref="A1"/>
    </sheetView>
  </sheetViews>
  <sheetFormatPr defaultColWidth="9" defaultRowHeight="13.8" outlineLevelCol="4"/>
  <cols>
    <col min="1" max="1" width="11" customWidth="1"/>
    <col min="2" max="2" width="16" customWidth="1"/>
    <col min="3" max="5" width="19" customWidth="1"/>
  </cols>
  <sheetData>
    <row r="1" ht="30" customHeight="1" spans="1:5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</row>
    <row r="2" spans="1:5">
      <c r="A2" s="6" t="s">
        <v>9</v>
      </c>
      <c r="B2" s="6" t="s">
        <v>10</v>
      </c>
      <c r="C2" s="9">
        <v>0.9</v>
      </c>
      <c r="D2" s="9">
        <v>0.48</v>
      </c>
      <c r="E2" s="9">
        <v>0</v>
      </c>
    </row>
    <row r="3" spans="1:5">
      <c r="A3" s="8" t="s">
        <v>12</v>
      </c>
      <c r="B3" s="8" t="s">
        <v>13</v>
      </c>
      <c r="C3" s="10">
        <v>1.65</v>
      </c>
      <c r="D3" s="10">
        <v>0.26</v>
      </c>
      <c r="E3" s="10">
        <v>0</v>
      </c>
    </row>
    <row r="4" spans="1:5">
      <c r="A4" s="6" t="s">
        <v>14</v>
      </c>
      <c r="B4" s="6" t="s">
        <v>15</v>
      </c>
      <c r="C4" s="9">
        <v>0.84</v>
      </c>
      <c r="D4" s="9">
        <v>0.54</v>
      </c>
      <c r="E4" s="9">
        <v>0</v>
      </c>
    </row>
    <row r="5" spans="1:5">
      <c r="A5" s="8" t="s">
        <v>16</v>
      </c>
      <c r="B5" s="8" t="s">
        <v>17</v>
      </c>
      <c r="C5" s="10">
        <v>0.18</v>
      </c>
      <c r="D5" s="10">
        <v>0.36</v>
      </c>
      <c r="E5" s="10">
        <v>1.68</v>
      </c>
    </row>
    <row r="6" spans="1:5">
      <c r="A6" s="6" t="s">
        <v>19</v>
      </c>
      <c r="B6" s="6" t="s">
        <v>20</v>
      </c>
      <c r="C6" s="9">
        <v>0</v>
      </c>
      <c r="D6" s="9">
        <v>0.78</v>
      </c>
      <c r="E6" s="9">
        <v>1.5</v>
      </c>
    </row>
    <row r="7" spans="1:5">
      <c r="A7" s="8" t="s">
        <v>21</v>
      </c>
      <c r="B7" s="8" t="s">
        <v>22</v>
      </c>
      <c r="C7" s="10">
        <v>0</v>
      </c>
      <c r="D7" s="10">
        <v>1.5</v>
      </c>
      <c r="E7" s="10">
        <v>0</v>
      </c>
    </row>
    <row r="8" spans="1:5">
      <c r="A8" s="6" t="s">
        <v>23</v>
      </c>
      <c r="B8" s="6" t="s">
        <v>24</v>
      </c>
      <c r="C8" s="9">
        <v>0</v>
      </c>
      <c r="D8" s="9">
        <v>1.26</v>
      </c>
      <c r="E8" s="9">
        <v>0</v>
      </c>
    </row>
    <row r="9" spans="1:5">
      <c r="A9" s="8" t="s">
        <v>25</v>
      </c>
      <c r="B9" s="8" t="s">
        <v>26</v>
      </c>
      <c r="C9" s="10">
        <v>1.008</v>
      </c>
      <c r="D9" s="10">
        <v>0.48</v>
      </c>
      <c r="E9" s="10">
        <v>0</v>
      </c>
    </row>
    <row r="10" spans="1:5">
      <c r="A10" s="6" t="s">
        <v>27</v>
      </c>
      <c r="B10" s="6" t="s">
        <v>28</v>
      </c>
      <c r="C10" s="9">
        <v>0.8</v>
      </c>
      <c r="D10" s="9">
        <v>0.2</v>
      </c>
      <c r="E10" s="9">
        <v>0</v>
      </c>
    </row>
    <row r="11" spans="1:5">
      <c r="A11" s="8" t="s">
        <v>29</v>
      </c>
      <c r="B11" s="8" t="s">
        <v>30</v>
      </c>
      <c r="C11" s="10">
        <v>1.605</v>
      </c>
      <c r="D11" s="10">
        <v>0.645</v>
      </c>
      <c r="E11" s="10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3"/>
  <sheetViews>
    <sheetView workbookViewId="0">
      <selection activeCell="A1" sqref="A1"/>
    </sheetView>
  </sheetViews>
  <sheetFormatPr defaultColWidth="9" defaultRowHeight="13.8" outlineLevelRow="2" outlineLevelCol="7"/>
  <cols>
    <col min="1" max="1" width="10" customWidth="1"/>
    <col min="2" max="2" width="18" customWidth="1"/>
    <col min="3" max="3" width="22" customWidth="1"/>
    <col min="4" max="4" width="20" customWidth="1"/>
    <col min="5" max="5" width="15" customWidth="1"/>
    <col min="6" max="6" width="22" customWidth="1"/>
    <col min="7" max="7" width="20" customWidth="1"/>
    <col min="8" max="8" width="42" customWidth="1"/>
  </cols>
  <sheetData>
    <row r="1" ht="34" customHeight="1" spans="1:8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ht="28.8" spans="1:8">
      <c r="A2" s="6" t="s">
        <v>47</v>
      </c>
      <c r="B2" s="6">
        <v>6</v>
      </c>
      <c r="C2" s="6">
        <v>93</v>
      </c>
      <c r="D2" s="6">
        <v>558</v>
      </c>
      <c r="E2" s="6">
        <v>7</v>
      </c>
      <c r="F2" s="6">
        <v>90</v>
      </c>
      <c r="G2" s="6">
        <v>630</v>
      </c>
      <c r="H2" s="7" t="s">
        <v>48</v>
      </c>
    </row>
    <row r="3" ht="28.8" spans="1:8">
      <c r="A3" s="8" t="s">
        <v>49</v>
      </c>
      <c r="B3" s="8">
        <v>5</v>
      </c>
      <c r="C3" s="8">
        <v>98</v>
      </c>
      <c r="D3" s="8">
        <v>490</v>
      </c>
      <c r="E3" s="8">
        <v>5</v>
      </c>
      <c r="F3" s="8">
        <v>100</v>
      </c>
      <c r="G3" s="8">
        <v>500</v>
      </c>
      <c r="H3" s="5" t="s">
        <v>48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4"/>
  <sheetViews>
    <sheetView workbookViewId="0">
      <selection activeCell="A1" sqref="A1"/>
    </sheetView>
  </sheetViews>
  <sheetFormatPr defaultColWidth="9" defaultRowHeight="13.8" outlineLevelRow="3" outlineLevelCol="2"/>
  <cols>
    <col min="1" max="1" width="16" customWidth="1"/>
    <col min="2" max="2" width="18" customWidth="1"/>
    <col min="3" max="3" width="42" customWidth="1"/>
  </cols>
  <sheetData>
    <row r="1" ht="28" customHeight="1" spans="1:3">
      <c r="A1" s="1" t="s">
        <v>50</v>
      </c>
      <c r="B1" s="1" t="s">
        <v>51</v>
      </c>
      <c r="C1" s="1" t="s">
        <v>46</v>
      </c>
    </row>
    <row r="2" ht="14.4" spans="1:3">
      <c r="A2" s="6" t="s">
        <v>52</v>
      </c>
      <c r="B2" s="6">
        <v>126</v>
      </c>
      <c r="C2" s="7" t="s">
        <v>53</v>
      </c>
    </row>
    <row r="3" ht="14.4" spans="1:3">
      <c r="A3" s="8" t="s">
        <v>54</v>
      </c>
      <c r="B3" s="8">
        <v>124</v>
      </c>
      <c r="C3" s="5" t="s">
        <v>53</v>
      </c>
    </row>
    <row r="4" ht="14.4" spans="1:3">
      <c r="A4" s="6" t="s">
        <v>55</v>
      </c>
      <c r="B4" s="6">
        <v>68</v>
      </c>
      <c r="C4" s="7" t="s">
        <v>56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9"/>
  <sheetViews>
    <sheetView tabSelected="1" workbookViewId="0">
      <selection activeCell="B9" sqref="B9"/>
    </sheetView>
  </sheetViews>
  <sheetFormatPr defaultColWidth="9" defaultRowHeight="13.8" outlineLevelCol="1"/>
  <cols>
    <col min="1" max="1" width="24" customWidth="1"/>
    <col min="2" max="2" width="72" customWidth="1"/>
  </cols>
  <sheetData>
    <row r="1" ht="30" customHeight="1" spans="1:2">
      <c r="A1" s="1" t="s">
        <v>57</v>
      </c>
      <c r="B1" s="1" t="s">
        <v>46</v>
      </c>
    </row>
    <row r="2" ht="42" customHeight="1" spans="1:2">
      <c r="A2" s="2" t="s">
        <v>58</v>
      </c>
      <c r="B2" s="3" t="s">
        <v>59</v>
      </c>
    </row>
    <row r="3" ht="42" customHeight="1" spans="1:2">
      <c r="A3" s="4" t="s">
        <v>60</v>
      </c>
      <c r="B3" s="5" t="s">
        <v>61</v>
      </c>
    </row>
    <row r="4" ht="42" customHeight="1" spans="1:2">
      <c r="A4" s="2" t="s">
        <v>62</v>
      </c>
      <c r="B4" s="3" t="s">
        <v>63</v>
      </c>
    </row>
    <row r="5" ht="42" customHeight="1" spans="1:2">
      <c r="A5" s="4" t="s">
        <v>64</v>
      </c>
      <c r="B5" s="5" t="s">
        <v>65</v>
      </c>
    </row>
    <row r="6" ht="42" customHeight="1" spans="1:2">
      <c r="A6" s="2" t="s">
        <v>66</v>
      </c>
      <c r="B6" s="3" t="s">
        <v>67</v>
      </c>
    </row>
    <row r="7" ht="42" customHeight="1" spans="1:2">
      <c r="A7" s="4" t="s">
        <v>68</v>
      </c>
      <c r="B7" s="5" t="s">
        <v>69</v>
      </c>
    </row>
    <row r="8" ht="42" customHeight="1" spans="1:2">
      <c r="A8" s="2" t="s">
        <v>70</v>
      </c>
      <c r="B8" s="3" t="s">
        <v>71</v>
      </c>
    </row>
    <row r="9" ht="42" customHeight="1" spans="1:2">
      <c r="A9" s="4" t="s">
        <v>72</v>
      </c>
      <c r="B9" s="5" t="s">
        <v>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菜品基本经营参数</vt:lpstr>
      <vt:lpstr>批量生产参数</vt:lpstr>
      <vt:lpstr>主要原料消耗</vt:lpstr>
      <vt:lpstr>时段生产资源</vt:lpstr>
      <vt:lpstr>当日原料供应</vt:lpstr>
      <vt:lpstr>参数说明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风正向北吹</cp:lastModifiedBy>
  <dcterms:created xsi:type="dcterms:W3CDTF">2026-08-09T03:55:43Z</dcterms:created>
  <dcterms:modified xsi:type="dcterms:W3CDTF">2026-08-09T03:57:50Z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1EC3D04A504247CF80781313B54CAEB9_12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