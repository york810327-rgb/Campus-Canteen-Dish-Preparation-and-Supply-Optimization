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2188" windowHeight="9180" tabRatio="600" firstSheet="0" activeTab="3" autoFilterDateGrouping="1"/>
  </bookViews>
  <sheets>
    <sheet name="填写说明" sheetId="1" state="visible" r:id="rId1"/>
    <sheet name="Q1" sheetId="2" state="visible" r:id="rId2"/>
    <sheet name="Q2" sheetId="3" state="visible" r:id="rId3"/>
    <sheet name="Q3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8">
    <font>
      <name val="Carlito"/>
      <charset val="134"/>
      <sz val="11"/>
    </font>
    <font>
      <name val="Noto Sans CJK SC"/>
      <charset val="134"/>
      <b val="1"/>
      <color rgb="FFFFFFFF"/>
      <sz val="16"/>
    </font>
    <font>
      <name val="Noto Sans CJK SC"/>
      <charset val="134"/>
      <sz val="10"/>
    </font>
    <font>
      <name val="Noto Sans CJK SC"/>
      <charset val="134"/>
      <color rgb="FF595959"/>
      <sz val="10"/>
    </font>
    <font>
      <name val="Noto Sans CJK SC"/>
      <charset val="134"/>
      <b val="1"/>
      <color rgb="FFFFFFFF"/>
      <sz val="10"/>
    </font>
    <font>
      <name val="Noto Sans CJK SC"/>
      <charset val="134"/>
      <b val="1"/>
      <color rgb="FF1F1F1F"/>
      <sz val="10"/>
    </font>
    <font>
      <name val="宋体"/>
      <charset val="134"/>
      <b val="1"/>
      <color rgb="FFFFFFFF"/>
      <sz val="16"/>
    </font>
    <font>
      <name val="宋体"/>
      <charset val="134"/>
      <color rgb="FF595959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40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8" fillId="0" borderId="0" applyAlignment="1">
      <alignment vertical="center"/>
    </xf>
    <xf numFmtId="43" fontId="8" fillId="0" borderId="0" applyAlignment="1">
      <alignment vertical="center"/>
    </xf>
    <xf numFmtId="44" fontId="8" fillId="0" borderId="0" applyAlignment="1">
      <alignment vertical="center"/>
    </xf>
    <xf numFmtId="9" fontId="8" fillId="0" borderId="0" applyAlignment="1">
      <alignment vertical="center"/>
    </xf>
    <xf numFmtId="41" fontId="8" fillId="0" borderId="0" applyAlignment="1">
      <alignment vertical="center"/>
    </xf>
    <xf numFmtId="42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8" fillId="9" borderId="1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2" applyAlignment="1">
      <alignment vertical="center"/>
    </xf>
    <xf numFmtId="0" fontId="15" fillId="0" borderId="2" applyAlignment="1">
      <alignment vertical="center"/>
    </xf>
    <xf numFmtId="0" fontId="16" fillId="0" borderId="3" applyAlignment="1">
      <alignment vertical="center"/>
    </xf>
    <xf numFmtId="0" fontId="16" fillId="0" borderId="0" applyAlignment="1">
      <alignment vertical="center"/>
    </xf>
    <xf numFmtId="0" fontId="17" fillId="10" borderId="4" applyAlignment="1">
      <alignment vertical="center"/>
    </xf>
    <xf numFmtId="0" fontId="18" fillId="11" borderId="5" applyAlignment="1">
      <alignment vertical="center"/>
    </xf>
    <xf numFmtId="0" fontId="19" fillId="11" borderId="4" applyAlignment="1">
      <alignment vertical="center"/>
    </xf>
    <xf numFmtId="0" fontId="20" fillId="12" borderId="6" applyAlignment="1">
      <alignment vertical="center"/>
    </xf>
    <xf numFmtId="0" fontId="21" fillId="0" borderId="7" applyAlignment="1">
      <alignment vertical="center"/>
    </xf>
    <xf numFmtId="0" fontId="22" fillId="0" borderId="8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7" fillId="17" borderId="0" applyAlignment="1">
      <alignment vertical="center"/>
    </xf>
    <xf numFmtId="0" fontId="27" fillId="18" borderId="0" applyAlignment="1">
      <alignment vertical="center"/>
    </xf>
    <xf numFmtId="0" fontId="26" fillId="19" borderId="0" applyAlignment="1">
      <alignment vertical="center"/>
    </xf>
    <xf numFmtId="0" fontId="26" fillId="20" borderId="0" applyAlignment="1">
      <alignment vertical="center"/>
    </xf>
    <xf numFmtId="0" fontId="27" fillId="21" borderId="0" applyAlignment="1">
      <alignment vertical="center"/>
    </xf>
    <xf numFmtId="0" fontId="27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7" fillId="25" borderId="0" applyAlignment="1">
      <alignment vertical="center"/>
    </xf>
    <xf numFmtId="0" fontId="27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7" fillId="29" borderId="0" applyAlignment="1">
      <alignment vertical="center"/>
    </xf>
    <xf numFmtId="0" fontId="27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7" fillId="33" borderId="0" applyAlignment="1">
      <alignment vertical="center"/>
    </xf>
    <xf numFmtId="0" fontId="27" fillId="34" borderId="0" applyAlignment="1">
      <alignment vertical="center"/>
    </xf>
    <xf numFmtId="0" fontId="26" fillId="35" borderId="0" applyAlignment="1">
      <alignment vertical="center"/>
    </xf>
    <xf numFmtId="0" fontId="26" fillId="36" borderId="0" applyAlignment="1">
      <alignment vertical="center"/>
    </xf>
    <xf numFmtId="0" fontId="27" fillId="37" borderId="0" applyAlignment="1">
      <alignment vertical="center"/>
    </xf>
    <xf numFmtId="0" fontId="27" fillId="38" borderId="0" applyAlignment="1">
      <alignment vertical="center"/>
    </xf>
    <xf numFmtId="0" fontId="26" fillId="39" borderId="0" applyAlignment="1">
      <alignment vertical="center"/>
    </xf>
    <xf numFmtId="0" fontId="0" fillId="0" borderId="0"/>
  </cellStyleXfs>
  <cellXfs count="17">
    <xf numFmtId="0" fontId="0" fillId="0" borderId="0" pivotButton="0" quotePrefix="0" xfId="49"/>
    <xf numFmtId="0" fontId="1" fillId="2" borderId="0" applyAlignment="1" pivotButton="0" quotePrefix="0" xfId="49">
      <alignment horizontal="center" vertical="center"/>
    </xf>
    <xf numFmtId="0" fontId="2" fillId="0" borderId="0" applyAlignment="1" pivotButton="0" quotePrefix="0" xfId="49">
      <alignment vertical="center"/>
    </xf>
    <xf numFmtId="0" fontId="3" fillId="3" borderId="0" applyAlignment="1" pivotButton="0" quotePrefix="0" xfId="49">
      <alignment vertical="center" wrapText="1"/>
    </xf>
    <xf numFmtId="0" fontId="4" fillId="4" borderId="0" applyAlignment="1" pivotButton="0" quotePrefix="0" xfId="49">
      <alignment horizontal="center" vertical="center" wrapText="1"/>
    </xf>
    <xf numFmtId="0" fontId="2" fillId="5" borderId="0" applyAlignment="1" pivotButton="0" quotePrefix="0" xfId="49">
      <alignment horizontal="center" vertical="center"/>
    </xf>
    <xf numFmtId="1" fontId="2" fillId="6" borderId="0" applyAlignment="1" pivotButton="0" quotePrefix="0" xfId="49">
      <alignment horizontal="center" vertical="center"/>
    </xf>
    <xf numFmtId="2" fontId="2" fillId="6" borderId="0" applyAlignment="1" pivotButton="0" quotePrefix="0" xfId="49">
      <alignment horizontal="center" vertical="center"/>
    </xf>
    <xf numFmtId="2" fontId="2" fillId="7" borderId="0" applyAlignment="1" pivotButton="0" quotePrefix="0" xfId="49">
      <alignment horizontal="center" vertical="center"/>
    </xf>
    <xf numFmtId="0" fontId="5" fillId="8" borderId="0" applyAlignment="1" pivotButton="0" quotePrefix="0" xfId="49">
      <alignment horizontal="left" vertical="center"/>
    </xf>
    <xf numFmtId="0" fontId="2" fillId="6" borderId="0" applyAlignment="1" pivotButton="0" quotePrefix="0" xfId="49">
      <alignment horizontal="center" vertical="center"/>
    </xf>
    <xf numFmtId="0" fontId="2" fillId="7" borderId="0" applyAlignment="1" pivotButton="0" quotePrefix="0" xfId="49">
      <alignment horizontal="center" vertical="center"/>
    </xf>
    <xf numFmtId="10" fontId="2" fillId="7" borderId="0" applyAlignment="1" pivotButton="0" quotePrefix="0" xfId="49">
      <alignment horizontal="center" vertical="center"/>
    </xf>
    <xf numFmtId="0" fontId="6" fillId="2" borderId="0" applyAlignment="1" pivotButton="0" quotePrefix="0" xfId="49">
      <alignment horizontal="center" vertical="center"/>
    </xf>
    <xf numFmtId="0" fontId="2" fillId="0" borderId="0" applyAlignment="1" pivotButton="0" quotePrefix="0" xfId="49">
      <alignment vertical="center" wrapText="1"/>
    </xf>
    <xf numFmtId="0" fontId="7" fillId="3" borderId="0" applyAlignment="1" pivotButton="0" quotePrefix="0" xfId="49">
      <alignment vertical="center" wrapText="1"/>
    </xf>
    <xf numFmtId="0" fontId="0" fillId="0" borderId="0" pivotButton="0" quotePrefix="0" xfId="0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color rgb="FFC00000"/>
      </font>
    </dxf>
    <dxf>
      <font>
        <color rgb="FF008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W59"/>
  <sheetViews>
    <sheetView workbookViewId="0">
      <selection activeCell="A1" sqref="A1:C1"/>
    </sheetView>
  </sheetViews>
  <sheetFormatPr baseColWidth="8" defaultColWidth="9" defaultRowHeight="13.8"/>
  <cols>
    <col width="12" customWidth="1" style="16" min="1" max="1"/>
    <col width="48" customWidth="1" style="16" min="2" max="2"/>
    <col width="38" customWidth="1" style="16" min="3" max="3"/>
  </cols>
  <sheetData>
    <row r="1" ht="30" customHeight="1" s="16">
      <c r="A1" s="13" t="inlineStr">
        <is>
          <t>校园食堂菜品备餐与供应优化——结果汇总表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</row>
    <row r="3">
      <c r="A3" s="9" t="inlineStr">
        <is>
          <t>一、使用说明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 ht="37" customHeight="1" s="16">
      <c r="A4" s="5" t="n">
        <v>1</v>
      </c>
      <c r="B4" s="3" t="inlineStr">
        <is>
          <t>请勿修改 Sheet 名称、表头和预置的菜品顺序；黄色单元格为主要填写区域，灰色单元格为预置信息，绿色单元格为自动计算区域。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 ht="37" customHeight="1" s="16">
      <c r="A5" s="5" t="n">
        <v>2</v>
      </c>
      <c r="B5" s="3" t="inlineStr">
        <is>
          <t>Q1：填写2026年6月29日午餐、晚餐10种菜品的最终预测需求量。预测结果可保留适当小数位，具体取整规则应在论文中说明。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 ht="42" customHeight="1" s="16">
      <c r="A6" s="5" t="n">
        <v>3</v>
      </c>
      <c r="B6" s="3" t="inlineStr">
        <is>
          <t>Q2：填写确定性备餐方案。生产批次数原则上应为非负整数；备餐量按附件3中的标准生产批次口径填写。资源利用和经营结果按最终方案汇总。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 ht="37" customHeight="1" s="16">
      <c r="A7" s="5" t="n">
        <v>4</v>
      </c>
      <c r="B7" s="3" t="inlineStr">
        <is>
          <t>Q3：填写考虑需求不确定性后的最终备餐方案。模板不限定情景分析、随机规划、鲁棒优化、仿真或其他具体方法。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 ht="37" customHeight="1" s="16">
      <c r="A8" s="5" t="n">
        <v>5</v>
      </c>
      <c r="B8" s="3" t="inlineStr">
        <is>
          <t>Q3中的“相比Q2备餐量变化”由表格自动计算；正值表示增加备餐，负值表示减少备餐。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 ht="37" customHeight="1" s="16">
      <c r="A9" s="5" t="n">
        <v>6</v>
      </c>
      <c r="B9" s="3" t="inlineStr">
        <is>
          <t>Q2、Q3中的“综合经营效益”请按照参赛队伍论文中定义且前后一致的口径填写，并在论文正文中明确计算方法。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 ht="37" customHeight="1" s="16">
      <c r="A10" s="5" t="n">
        <v>7</v>
      </c>
      <c r="B10" s="3" t="inlineStr">
        <is>
          <t>Q3对比表中的“自定义风险/稳健性指标”可根据所采用的方法自行命名；若不需要，可留空。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9" t="inlineStr">
        <is>
          <t>二、填写内容与单位</t>
        </is>
      </c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4" t="inlineStr">
        <is>
          <t>Sheet</t>
        </is>
      </c>
      <c r="B13" s="4" t="inlineStr">
        <is>
          <t>主要填写内容</t>
        </is>
      </c>
      <c r="C13" s="4" t="inlineStr">
        <is>
          <t>建议单位/格式</t>
        </is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>
      <c r="A14" s="14" t="inlineStr">
        <is>
          <t>Q1</t>
        </is>
      </c>
      <c r="B14" s="14" t="inlineStr">
        <is>
          <t>午餐、晚餐10种菜品的预测需求量</t>
        </is>
      </c>
      <c r="C14" s="14" t="inlineStr">
        <is>
          <t>份；可保留适当小数位</t>
        </is>
      </c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 ht="25.2" customHeight="1" s="16">
      <c r="A15" s="14" t="inlineStr">
        <is>
          <t>Q2</t>
        </is>
      </c>
      <c r="B15" s="14" t="inlineStr">
        <is>
          <t>生产批次数、备餐量、需求估计、预计剩余/缺供、资源利用、经营结果</t>
        </is>
      </c>
      <c r="C15" s="14" t="inlineStr">
        <is>
          <t>批、份、人·分钟、灶·分钟、kg、元等</t>
        </is>
      </c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14" t="inlineStr">
        <is>
          <t>Q3</t>
        </is>
      </c>
      <c r="B16" s="14" t="inlineStr">
        <is>
          <t>稳健备餐方案及与Q2的比较</t>
        </is>
      </c>
      <c r="C16" s="14" t="inlineStr">
        <is>
          <t>批、份，以及论文所定义的风险/稳健性指标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>
      <c r="A18" s="9" t="inlineStr">
        <is>
          <t>三、重要提示</t>
        </is>
      </c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 ht="22" customHeight="1" s="16">
      <c r="A19" s="15" t="inlineStr">
        <is>
          <t>若参赛队伍采用的模型需要报告其他重要结果，可在论文正文中补充，不必为了适配本表而改变模型。</t>
        </is>
      </c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 ht="22" customHeight="1" s="16"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22" customHeight="1" s="16"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</row>
  </sheetData>
  <mergeCells count="5">
    <mergeCell ref="A1:C1"/>
    <mergeCell ref="A18:C18"/>
    <mergeCell ref="A3:C3"/>
    <mergeCell ref="A12:C12"/>
    <mergeCell ref="A19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Z60"/>
  <sheetViews>
    <sheetView workbookViewId="0">
      <selection activeCell="A1" sqref="A1:D1"/>
    </sheetView>
  </sheetViews>
  <sheetFormatPr baseColWidth="8" defaultColWidth="9" defaultRowHeight="13.8"/>
  <cols>
    <col width="12" customWidth="1" style="16" min="1" max="2"/>
    <col width="18" customWidth="1" style="16" min="3" max="3"/>
    <col width="20" customWidth="1" style="16" min="4" max="4"/>
  </cols>
  <sheetData>
    <row r="1" ht="28" customHeight="1" s="16">
      <c r="A1" s="1" t="inlineStr">
        <is>
          <t>问题1：2026年6月29日菜品需求预测结果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请填写最终采用的预测模型给出的需求预测结果；模型选择、评价指标及检验结果请在论文正文中说明。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4" t="inlineStr">
        <is>
          <t>时段</t>
        </is>
      </c>
      <c r="B5" s="4" t="inlineStr">
        <is>
          <t>菜品编号</t>
        </is>
      </c>
      <c r="C5" s="4" t="inlineStr">
        <is>
          <t>菜品名称</t>
        </is>
      </c>
      <c r="D5" s="4" t="inlineStr">
        <is>
          <t>预测需求量（份）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5" t="inlineStr">
        <is>
          <t>午餐</t>
        </is>
      </c>
      <c r="B6" s="5" t="inlineStr">
        <is>
          <t>D01</t>
        </is>
      </c>
      <c r="C6" s="5" t="inlineStr">
        <is>
          <t>宫保鸡丁</t>
        </is>
      </c>
      <c r="D6" s="7" t="n">
        <v>157</v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5" t="inlineStr">
        <is>
          <t>午餐</t>
        </is>
      </c>
      <c r="B7" s="5" t="inlineStr">
        <is>
          <t>D02</t>
        </is>
      </c>
      <c r="C7" s="5" t="inlineStr">
        <is>
          <t>红烧肉</t>
        </is>
      </c>
      <c r="D7" s="7" t="n">
        <v>108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5" t="inlineStr">
        <is>
          <t>午餐</t>
        </is>
      </c>
      <c r="B8" s="5" t="inlineStr">
        <is>
          <t>D03</t>
        </is>
      </c>
      <c r="C8" s="5" t="inlineStr">
        <is>
          <t>鱼香肉丝</t>
        </is>
      </c>
      <c r="D8" s="7" t="n">
        <v>152</v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5" t="inlineStr">
        <is>
          <t>午餐</t>
        </is>
      </c>
      <c r="B9" s="5" t="inlineStr">
        <is>
          <t>D04</t>
        </is>
      </c>
      <c r="C9" s="5" t="inlineStr">
        <is>
          <t>麻婆豆腐</t>
        </is>
      </c>
      <c r="D9" s="7" t="n">
        <v>146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5" t="inlineStr">
        <is>
          <t>午餐</t>
        </is>
      </c>
      <c r="B10" s="5" t="inlineStr">
        <is>
          <t>D05</t>
        </is>
      </c>
      <c r="C10" s="5" t="inlineStr">
        <is>
          <t>番茄炒蛋</t>
        </is>
      </c>
      <c r="D10" s="7" t="n">
        <v>174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5" t="inlineStr">
        <is>
          <t>午餐</t>
        </is>
      </c>
      <c r="B11" s="5" t="inlineStr">
        <is>
          <t>D06</t>
        </is>
      </c>
      <c r="C11" s="5" t="inlineStr">
        <is>
          <t>青椒土豆丝</t>
        </is>
      </c>
      <c r="D11" s="7" t="n">
        <v>138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5" t="inlineStr">
        <is>
          <t>午餐</t>
        </is>
      </c>
      <c r="B12" s="5" t="inlineStr">
        <is>
          <t>D07</t>
        </is>
      </c>
      <c r="C12" s="5" t="inlineStr">
        <is>
          <t>香菇青菜</t>
        </is>
      </c>
      <c r="D12" s="7" t="n">
        <v>113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5" t="inlineStr">
        <is>
          <t>午餐</t>
        </is>
      </c>
      <c r="B13" s="5" t="inlineStr">
        <is>
          <t>D08</t>
        </is>
      </c>
      <c r="C13" s="5" t="inlineStr">
        <is>
          <t>水煮鸡片</t>
        </is>
      </c>
      <c r="D13" s="7" t="n">
        <v>128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5" t="inlineStr">
        <is>
          <t>午餐</t>
        </is>
      </c>
      <c r="B14" s="5" t="inlineStr">
        <is>
          <t>D09</t>
        </is>
      </c>
      <c r="C14" s="5" t="inlineStr">
        <is>
          <t>糖醋里脊</t>
        </is>
      </c>
      <c r="D14" s="7" t="n">
        <v>111</v>
      </c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5" t="inlineStr">
        <is>
          <t>午餐</t>
        </is>
      </c>
      <c r="B15" s="5" t="inlineStr">
        <is>
          <t>D10</t>
        </is>
      </c>
      <c r="C15" s="5" t="inlineStr">
        <is>
          <t>西红柿牛腩</t>
        </is>
      </c>
      <c r="D15" s="7" t="n">
        <v>98</v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5" t="inlineStr">
        <is>
          <t>晚餐</t>
        </is>
      </c>
      <c r="B16" s="5" t="inlineStr">
        <is>
          <t>D01</t>
        </is>
      </c>
      <c r="C16" s="5" t="inlineStr">
        <is>
          <t>宫保鸡丁</t>
        </is>
      </c>
      <c r="D16" s="7" t="n">
        <v>135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5" t="inlineStr">
        <is>
          <t>晚餐</t>
        </is>
      </c>
      <c r="B17" s="5" t="inlineStr">
        <is>
          <t>D02</t>
        </is>
      </c>
      <c r="C17" s="5" t="inlineStr">
        <is>
          <t>红烧肉</t>
        </is>
      </c>
      <c r="D17" s="7" t="n">
        <v>89</v>
      </c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5" t="inlineStr">
        <is>
          <t>晚餐</t>
        </is>
      </c>
      <c r="B18" s="5" t="inlineStr">
        <is>
          <t>D03</t>
        </is>
      </c>
      <c r="C18" s="5" t="inlineStr">
        <is>
          <t>鱼香肉丝</t>
        </is>
      </c>
      <c r="D18" s="7" t="n">
        <v>128</v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5" t="inlineStr">
        <is>
          <t>晚餐</t>
        </is>
      </c>
      <c r="B19" s="5" t="inlineStr">
        <is>
          <t>D04</t>
        </is>
      </c>
      <c r="C19" s="5" t="inlineStr">
        <is>
          <t>麻婆豆腐</t>
        </is>
      </c>
      <c r="D19" s="7" t="n">
        <v>132</v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5" t="inlineStr">
        <is>
          <t>晚餐</t>
        </is>
      </c>
      <c r="B20" s="5" t="inlineStr">
        <is>
          <t>D05</t>
        </is>
      </c>
      <c r="C20" s="5" t="inlineStr">
        <is>
          <t>番茄炒蛋</t>
        </is>
      </c>
      <c r="D20" s="7" t="n">
        <v>148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5" t="inlineStr">
        <is>
          <t>晚餐</t>
        </is>
      </c>
      <c r="B21" s="5" t="inlineStr">
        <is>
          <t>D06</t>
        </is>
      </c>
      <c r="C21" s="5" t="inlineStr">
        <is>
          <t>青椒土豆丝</t>
        </is>
      </c>
      <c r="D21" s="7" t="n">
        <v>113</v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5" t="inlineStr">
        <is>
          <t>晚餐</t>
        </is>
      </c>
      <c r="B22" s="5" t="inlineStr">
        <is>
          <t>D07</t>
        </is>
      </c>
      <c r="C22" s="5" t="inlineStr">
        <is>
          <t>香菇青菜</t>
        </is>
      </c>
      <c r="D22" s="7" t="n">
        <v>92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5" t="inlineStr">
        <is>
          <t>晚餐</t>
        </is>
      </c>
      <c r="B23" s="5" t="inlineStr">
        <is>
          <t>D08</t>
        </is>
      </c>
      <c r="C23" s="5" t="inlineStr">
        <is>
          <t>水煮鸡片</t>
        </is>
      </c>
      <c r="D23" s="7" t="n">
        <v>108</v>
      </c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5" t="inlineStr">
        <is>
          <t>晚餐</t>
        </is>
      </c>
      <c r="B24" s="5" t="inlineStr">
        <is>
          <t>D09</t>
        </is>
      </c>
      <c r="C24" s="5" t="inlineStr">
        <is>
          <t>糖醋里脊</t>
        </is>
      </c>
      <c r="D24" s="7" t="n">
        <v>96</v>
      </c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5" t="inlineStr">
        <is>
          <t>晚餐</t>
        </is>
      </c>
      <c r="B25" s="5" t="inlineStr">
        <is>
          <t>D10</t>
        </is>
      </c>
      <c r="C25" s="5" t="inlineStr">
        <is>
          <t>西红柿牛腩</t>
        </is>
      </c>
      <c r="D25" s="7" t="n">
        <v>84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</sheetData>
  <mergeCells count="2">
    <mergeCell ref="A1:D1"/>
    <mergeCell ref="A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Z60"/>
  <sheetViews>
    <sheetView topLeftCell="A9" workbookViewId="0">
      <selection activeCell="G20" sqref="G20"/>
    </sheetView>
  </sheetViews>
  <sheetFormatPr baseColWidth="8" defaultColWidth="9" defaultRowHeight="13.8"/>
  <cols>
    <col width="11" customWidth="1" style="16" min="1" max="1"/>
    <col width="12" customWidth="1" style="16" min="2" max="2"/>
    <col width="17" customWidth="1" style="16" min="3" max="4"/>
    <col width="15" customWidth="1" style="16" min="5" max="5"/>
    <col width="17" customWidth="1" style="16" min="6" max="6"/>
    <col width="15" customWidth="1" style="16" min="7" max="9"/>
  </cols>
  <sheetData>
    <row r="1" ht="28" customHeight="1" s="16">
      <c r="A1" s="1" t="inlineStr">
        <is>
          <t>问题2：2026年6月29日确定性备餐优化结果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请填写最终确定性备餐方案。需求估计量可采用问题1结果或论文中说明的其他合理估计；预计剩余和预计缺供请按参赛队伍所采用的需求口径计算。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4" t="inlineStr">
        <is>
          <t>时段</t>
        </is>
      </c>
      <c r="B5" s="4" t="inlineStr">
        <is>
          <t>菜品编号</t>
        </is>
      </c>
      <c r="C5" s="4" t="inlineStr">
        <is>
          <t>菜品名称</t>
        </is>
      </c>
      <c r="D5" s="4" t="inlineStr">
        <is>
          <t>生产批次数（批）</t>
        </is>
      </c>
      <c r="E5" s="4" t="inlineStr">
        <is>
          <t>备餐量（份）</t>
        </is>
      </c>
      <c r="F5" s="4" t="inlineStr">
        <is>
          <t>需求估计量（份）</t>
        </is>
      </c>
      <c r="G5" s="4" t="inlineStr">
        <is>
          <t>预计销量（份）</t>
        </is>
      </c>
      <c r="H5" s="4" t="inlineStr">
        <is>
          <t>预计剩余（份）</t>
        </is>
      </c>
      <c r="I5" s="4" t="inlineStr">
        <is>
          <t>预计缺供（份）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5" t="inlineStr">
        <is>
          <t>午餐</t>
        </is>
      </c>
      <c r="B6" s="5" t="inlineStr">
        <is>
          <t>D01</t>
        </is>
      </c>
      <c r="C6" s="5" t="inlineStr">
        <is>
          <t>宫保鸡丁</t>
        </is>
      </c>
      <c r="D6" s="6" t="n">
        <v>13</v>
      </c>
      <c r="E6" s="7" t="n">
        <v>156</v>
      </c>
      <c r="F6" s="7" t="n">
        <v>157</v>
      </c>
      <c r="G6" s="7" t="n">
        <v>156</v>
      </c>
      <c r="H6" s="7" t="n">
        <v>0</v>
      </c>
      <c r="I6" s="7" t="n">
        <v>1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5" t="inlineStr">
        <is>
          <t>午餐</t>
        </is>
      </c>
      <c r="B7" s="5" t="inlineStr">
        <is>
          <t>D02</t>
        </is>
      </c>
      <c r="C7" s="5" t="inlineStr">
        <is>
          <t>红烧肉</t>
        </is>
      </c>
      <c r="D7" s="6" t="n">
        <v>7</v>
      </c>
      <c r="E7" s="7" t="n">
        <v>105</v>
      </c>
      <c r="F7" s="7" t="n">
        <v>108</v>
      </c>
      <c r="G7" s="7" t="n">
        <v>105</v>
      </c>
      <c r="H7" s="7" t="n">
        <v>0</v>
      </c>
      <c r="I7" s="7" t="n">
        <v>3</v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5" t="inlineStr">
        <is>
          <t>午餐</t>
        </is>
      </c>
      <c r="B8" s="5" t="inlineStr">
        <is>
          <t>D03</t>
        </is>
      </c>
      <c r="C8" s="5" t="inlineStr">
        <is>
          <t>鱼香肉丝</t>
        </is>
      </c>
      <c r="D8" s="6" t="n">
        <v>13</v>
      </c>
      <c r="E8" s="7" t="n">
        <v>156</v>
      </c>
      <c r="F8" s="7" t="n">
        <v>152</v>
      </c>
      <c r="G8" s="7" t="n">
        <v>152</v>
      </c>
      <c r="H8" s="7" t="n">
        <v>4</v>
      </c>
      <c r="I8" s="7" t="n">
        <v>0</v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5" t="inlineStr">
        <is>
          <t>午餐</t>
        </is>
      </c>
      <c r="B9" s="5" t="inlineStr">
        <is>
          <t>D04</t>
        </is>
      </c>
      <c r="C9" s="5" t="inlineStr">
        <is>
          <t>麻婆豆腐</t>
        </is>
      </c>
      <c r="D9" s="6" t="n">
        <v>10</v>
      </c>
      <c r="E9" s="7" t="n">
        <v>150</v>
      </c>
      <c r="F9" s="7" t="n">
        <v>146</v>
      </c>
      <c r="G9" s="7" t="n">
        <v>146</v>
      </c>
      <c r="H9" s="7" t="n">
        <v>4</v>
      </c>
      <c r="I9" s="7" t="n">
        <v>0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5" t="inlineStr">
        <is>
          <t>午餐</t>
        </is>
      </c>
      <c r="B10" s="5" t="inlineStr">
        <is>
          <t>D05</t>
        </is>
      </c>
      <c r="C10" s="5" t="inlineStr">
        <is>
          <t>番茄炒蛋</t>
        </is>
      </c>
      <c r="D10" s="6" t="n">
        <v>12</v>
      </c>
      <c r="E10" s="7" t="n">
        <v>180</v>
      </c>
      <c r="F10" s="7" t="n">
        <v>174</v>
      </c>
      <c r="G10" s="7" t="n">
        <v>174</v>
      </c>
      <c r="H10" s="7" t="n">
        <v>6</v>
      </c>
      <c r="I10" s="7" t="n">
        <v>0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5" t="inlineStr">
        <is>
          <t>午餐</t>
        </is>
      </c>
      <c r="B11" s="5" t="inlineStr">
        <is>
          <t>D06</t>
        </is>
      </c>
      <c r="C11" s="5" t="inlineStr">
        <is>
          <t>青椒土豆丝</t>
        </is>
      </c>
      <c r="D11" s="6" t="n">
        <v>9</v>
      </c>
      <c r="E11" s="7" t="n">
        <v>135</v>
      </c>
      <c r="F11" s="7" t="n">
        <v>138</v>
      </c>
      <c r="G11" s="7" t="n">
        <v>135</v>
      </c>
      <c r="H11" s="7" t="n">
        <v>0</v>
      </c>
      <c r="I11" s="7" t="n">
        <v>3</v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5" t="inlineStr">
        <is>
          <t>午餐</t>
        </is>
      </c>
      <c r="B12" s="5" t="inlineStr">
        <is>
          <t>D07</t>
        </is>
      </c>
      <c r="C12" s="5" t="inlineStr">
        <is>
          <t>香菇青菜</t>
        </is>
      </c>
      <c r="D12" s="6" t="n">
        <v>9</v>
      </c>
      <c r="E12" s="7" t="n">
        <v>108</v>
      </c>
      <c r="F12" s="7" t="n">
        <v>113</v>
      </c>
      <c r="G12" s="7" t="n">
        <v>108</v>
      </c>
      <c r="H12" s="7" t="n">
        <v>0</v>
      </c>
      <c r="I12" s="7" t="n">
        <v>5</v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5" t="inlineStr">
        <is>
          <t>午餐</t>
        </is>
      </c>
      <c r="B13" s="5" t="inlineStr">
        <is>
          <t>D08</t>
        </is>
      </c>
      <c r="C13" s="5" t="inlineStr">
        <is>
          <t>水煮鸡片</t>
        </is>
      </c>
      <c r="D13" s="6" t="n">
        <v>11</v>
      </c>
      <c r="E13" s="7" t="n">
        <v>132</v>
      </c>
      <c r="F13" s="7" t="n">
        <v>128</v>
      </c>
      <c r="G13" s="7" t="n">
        <v>128</v>
      </c>
      <c r="H13" s="7" t="n">
        <v>4</v>
      </c>
      <c r="I13" s="7" t="n">
        <v>0</v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5" t="inlineStr">
        <is>
          <t>午餐</t>
        </is>
      </c>
      <c r="B14" s="5" t="inlineStr">
        <is>
          <t>D09</t>
        </is>
      </c>
      <c r="C14" s="5" t="inlineStr">
        <is>
          <t>糖醋里脊</t>
        </is>
      </c>
      <c r="D14" s="6" t="n">
        <v>11</v>
      </c>
      <c r="E14" s="7" t="n">
        <v>110</v>
      </c>
      <c r="F14" s="7" t="n">
        <v>111</v>
      </c>
      <c r="G14" s="7" t="n">
        <v>110</v>
      </c>
      <c r="H14" s="7" t="n">
        <v>0</v>
      </c>
      <c r="I14" s="7" t="n">
        <v>1</v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5" t="inlineStr">
        <is>
          <t>午餐</t>
        </is>
      </c>
      <c r="B15" s="5" t="inlineStr">
        <is>
          <t>D10</t>
        </is>
      </c>
      <c r="C15" s="5" t="inlineStr">
        <is>
          <t>西红柿牛腩</t>
        </is>
      </c>
      <c r="D15" s="6" t="n">
        <v>6</v>
      </c>
      <c r="E15" s="7" t="n">
        <v>90</v>
      </c>
      <c r="F15" s="7" t="n">
        <v>98</v>
      </c>
      <c r="G15" s="7" t="n">
        <v>90</v>
      </c>
      <c r="H15" s="7" t="n">
        <v>0</v>
      </c>
      <c r="I15" s="7" t="n">
        <v>8</v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5" t="inlineStr">
        <is>
          <t>晚餐</t>
        </is>
      </c>
      <c r="B16" s="5" t="inlineStr">
        <is>
          <t>D01</t>
        </is>
      </c>
      <c r="C16" s="5" t="inlineStr">
        <is>
          <t>宫保鸡丁</t>
        </is>
      </c>
      <c r="D16" s="6" t="n">
        <v>11</v>
      </c>
      <c r="E16" s="7" t="n">
        <v>132</v>
      </c>
      <c r="F16" s="7" t="n">
        <v>135</v>
      </c>
      <c r="G16" s="7" t="n">
        <v>132</v>
      </c>
      <c r="H16" s="7" t="n">
        <v>0</v>
      </c>
      <c r="I16" s="7" t="n">
        <v>3</v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5" t="inlineStr">
        <is>
          <t>晚餐</t>
        </is>
      </c>
      <c r="B17" s="5" t="inlineStr">
        <is>
          <t>D02</t>
        </is>
      </c>
      <c r="C17" s="5" t="inlineStr">
        <is>
          <t>红烧肉</t>
        </is>
      </c>
      <c r="D17" s="6" t="n">
        <v>5</v>
      </c>
      <c r="E17" s="7" t="n">
        <v>75</v>
      </c>
      <c r="F17" s="7" t="n">
        <v>89</v>
      </c>
      <c r="G17" s="7" t="n">
        <v>75</v>
      </c>
      <c r="H17" s="7" t="n">
        <v>0</v>
      </c>
      <c r="I17" s="7" t="n">
        <v>14</v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5" t="inlineStr">
        <is>
          <t>晚餐</t>
        </is>
      </c>
      <c r="B18" s="5" t="inlineStr">
        <is>
          <t>D03</t>
        </is>
      </c>
      <c r="C18" s="5" t="inlineStr">
        <is>
          <t>鱼香肉丝</t>
        </is>
      </c>
      <c r="D18" s="6" t="n">
        <v>10</v>
      </c>
      <c r="E18" s="7" t="n">
        <v>120</v>
      </c>
      <c r="F18" s="7" t="n">
        <v>128</v>
      </c>
      <c r="G18" s="7" t="n">
        <v>120</v>
      </c>
      <c r="H18" s="7" t="n">
        <v>0</v>
      </c>
      <c r="I18" s="7" t="n">
        <v>8</v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5" t="inlineStr">
        <is>
          <t>晚餐</t>
        </is>
      </c>
      <c r="B19" s="5" t="inlineStr">
        <is>
          <t>D04</t>
        </is>
      </c>
      <c r="C19" s="5" t="inlineStr">
        <is>
          <t>麻婆豆腐</t>
        </is>
      </c>
      <c r="D19" s="6" t="n">
        <v>9</v>
      </c>
      <c r="E19" s="7" t="n">
        <v>135</v>
      </c>
      <c r="F19" s="7" t="n">
        <v>132</v>
      </c>
      <c r="G19" s="7" t="n">
        <v>132</v>
      </c>
      <c r="H19" s="7" t="n">
        <v>3</v>
      </c>
      <c r="I19" s="7" t="n">
        <v>0</v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5" t="inlineStr">
        <is>
          <t>晚餐</t>
        </is>
      </c>
      <c r="B20" s="5" t="inlineStr">
        <is>
          <t>D05</t>
        </is>
      </c>
      <c r="C20" s="5" t="inlineStr">
        <is>
          <t>番茄炒蛋</t>
        </is>
      </c>
      <c r="D20" s="6" t="n">
        <v>10</v>
      </c>
      <c r="E20" s="7" t="n">
        <v>150</v>
      </c>
      <c r="F20" s="7" t="n">
        <v>148</v>
      </c>
      <c r="G20" s="7" t="n">
        <v>148</v>
      </c>
      <c r="H20" s="7" t="n">
        <v>2</v>
      </c>
      <c r="I20" s="7" t="n">
        <v>0</v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5" t="inlineStr">
        <is>
          <t>晚餐</t>
        </is>
      </c>
      <c r="B21" s="5" t="inlineStr">
        <is>
          <t>D06</t>
        </is>
      </c>
      <c r="C21" s="5" t="inlineStr">
        <is>
          <t>青椒土豆丝</t>
        </is>
      </c>
      <c r="D21" s="6" t="n">
        <v>7</v>
      </c>
      <c r="E21" s="7" t="n">
        <v>105</v>
      </c>
      <c r="F21" s="7" t="n">
        <v>113</v>
      </c>
      <c r="G21" s="7" t="n">
        <v>105</v>
      </c>
      <c r="H21" s="7" t="n">
        <v>0</v>
      </c>
      <c r="I21" s="7" t="n">
        <v>8</v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5" t="inlineStr">
        <is>
          <t>晚餐</t>
        </is>
      </c>
      <c r="B22" s="5" t="inlineStr">
        <is>
          <t>D07</t>
        </is>
      </c>
      <c r="C22" s="5" t="inlineStr">
        <is>
          <t>香菇青菜</t>
        </is>
      </c>
      <c r="D22" s="6" t="n">
        <v>7</v>
      </c>
      <c r="E22" s="7" t="n">
        <v>84</v>
      </c>
      <c r="F22" s="7" t="n">
        <v>92</v>
      </c>
      <c r="G22" s="7" t="n">
        <v>84</v>
      </c>
      <c r="H22" s="7" t="n">
        <v>0</v>
      </c>
      <c r="I22" s="7" t="n">
        <v>8</v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5" t="inlineStr">
        <is>
          <t>晚餐</t>
        </is>
      </c>
      <c r="B23" s="5" t="inlineStr">
        <is>
          <t>D08</t>
        </is>
      </c>
      <c r="C23" s="5" t="inlineStr">
        <is>
          <t>水煮鸡片</t>
        </is>
      </c>
      <c r="D23" s="6" t="n">
        <v>9</v>
      </c>
      <c r="E23" s="7" t="n">
        <v>108</v>
      </c>
      <c r="F23" s="7" t="n">
        <v>108</v>
      </c>
      <c r="G23" s="7" t="n">
        <v>108</v>
      </c>
      <c r="H23" s="7" t="n">
        <v>0</v>
      </c>
      <c r="I23" s="7" t="n">
        <v>0</v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5" t="inlineStr">
        <is>
          <t>晚餐</t>
        </is>
      </c>
      <c r="B24" s="5" t="inlineStr">
        <is>
          <t>D09</t>
        </is>
      </c>
      <c r="C24" s="5" t="inlineStr">
        <is>
          <t>糖醋里脊</t>
        </is>
      </c>
      <c r="D24" s="6" t="n">
        <v>9</v>
      </c>
      <c r="E24" s="7" t="n">
        <v>90</v>
      </c>
      <c r="F24" s="7" t="n">
        <v>96</v>
      </c>
      <c r="G24" s="7" t="n">
        <v>90</v>
      </c>
      <c r="H24" s="7" t="n">
        <v>0</v>
      </c>
      <c r="I24" s="7" t="n">
        <v>6</v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5" t="inlineStr">
        <is>
          <t>晚餐</t>
        </is>
      </c>
      <c r="B25" s="5" t="inlineStr">
        <is>
          <t>D10</t>
        </is>
      </c>
      <c r="C25" s="5" t="inlineStr">
        <is>
          <t>西红柿牛腩</t>
        </is>
      </c>
      <c r="D25" s="6" t="n">
        <v>5</v>
      </c>
      <c r="E25" s="7" t="n">
        <v>75</v>
      </c>
      <c r="F25" s="7" t="n">
        <v>84</v>
      </c>
      <c r="G25" s="7" t="n">
        <v>75</v>
      </c>
      <c r="H25" s="7" t="n">
        <v>0</v>
      </c>
      <c r="I25" s="7" t="n">
        <v>9</v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9" t="inlineStr">
        <is>
          <t>主要资源利用汇总</t>
        </is>
      </c>
      <c r="E28" s="2" t="n"/>
      <c r="F28" s="9" t="inlineStr">
        <is>
          <t>经营结果汇总</t>
        </is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4" t="inlineStr">
        <is>
          <t>资源</t>
        </is>
      </c>
      <c r="B29" s="4" t="inlineStr">
        <is>
          <t>实际使用量</t>
        </is>
      </c>
      <c r="C29" s="4" t="inlineStr">
        <is>
          <t>可用量</t>
        </is>
      </c>
      <c r="D29" s="4" t="inlineStr">
        <is>
          <t>利用率</t>
        </is>
      </c>
      <c r="E29" s="2" t="n"/>
      <c r="F29" s="4" t="inlineStr">
        <is>
          <t>指标</t>
        </is>
      </c>
      <c r="G29" s="4" t="inlineStr">
        <is>
          <t>结果</t>
        </is>
      </c>
      <c r="H29" s="4" t="inlineStr">
        <is>
          <t>单位</t>
        </is>
      </c>
      <c r="I29" s="4" t="inlineStr">
        <is>
          <t>说明（可选）</t>
        </is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5" t="inlineStr">
        <is>
          <t>午餐人工</t>
        </is>
      </c>
      <c r="B30" s="10" t="n">
        <v>555</v>
      </c>
      <c r="C30" s="10" t="n">
        <v>558</v>
      </c>
      <c r="D30" s="12">
        <f>IF(OR(B30="",C30="",C30=0),"",B30/C30)</f>
        <v/>
      </c>
      <c r="E30" s="2" t="n"/>
      <c r="F30" s="5" t="inlineStr">
        <is>
          <t>综合经营效益</t>
        </is>
      </c>
      <c r="G30" s="10" t="n">
        <v>14328.2</v>
      </c>
      <c r="H30" s="5" t="inlineStr">
        <is>
          <t>元/自定义等价单位</t>
        </is>
      </c>
      <c r="I30" s="10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5" t="inlineStr">
        <is>
          <t>午餐主灶</t>
        </is>
      </c>
      <c r="B31" s="10" t="n">
        <v>617</v>
      </c>
      <c r="C31" s="10" t="n">
        <v>630</v>
      </c>
      <c r="D31" s="12">
        <f>IF(OR(B31="",C31="",C31=0),"",B31/C31)</f>
        <v/>
      </c>
      <c r="E31" s="2" t="n"/>
      <c r="F31" s="5" t="inlineStr">
        <is>
          <t>备餐总量</t>
        </is>
      </c>
      <c r="G31" s="10" t="n">
        <v>2396</v>
      </c>
      <c r="H31" s="5" t="inlineStr">
        <is>
          <t>份</t>
        </is>
      </c>
      <c r="I31" s="10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5" t="inlineStr">
        <is>
          <t>晚餐人工</t>
        </is>
      </c>
      <c r="B32" s="10" t="n">
        <v>450</v>
      </c>
      <c r="C32" s="10" t="n">
        <v>490</v>
      </c>
      <c r="D32" s="12">
        <f>IF(OR(B32="",C32="",C32=0),"",B32/C32)</f>
        <v/>
      </c>
      <c r="E32" s="2" t="n"/>
      <c r="F32" s="5" t="inlineStr">
        <is>
          <t>预计销量</t>
        </is>
      </c>
      <c r="G32" s="10" t="n">
        <v>2373</v>
      </c>
      <c r="H32" s="5" t="inlineStr">
        <is>
          <t>份</t>
        </is>
      </c>
      <c r="I32" s="10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5" t="inlineStr">
        <is>
          <t>晚餐主灶</t>
        </is>
      </c>
      <c r="B33" s="10" t="n">
        <v>498</v>
      </c>
      <c r="C33" s="10" t="n">
        <v>500</v>
      </c>
      <c r="D33" s="12">
        <f>IF(OR(B33="",C33="",C33=0),"",B33/C33)</f>
        <v/>
      </c>
      <c r="E33" s="2" t="n"/>
      <c r="F33" s="5" t="inlineStr">
        <is>
          <t>预计剩余量</t>
        </is>
      </c>
      <c r="G33" s="10" t="n">
        <v>23</v>
      </c>
      <c r="H33" s="5" t="inlineStr">
        <is>
          <t>份</t>
        </is>
      </c>
      <c r="I33" s="10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5" t="inlineStr">
        <is>
          <t>肉禽类</t>
        </is>
      </c>
      <c r="B34" s="10" t="n">
        <v>117.955</v>
      </c>
      <c r="C34" s="10" t="n">
        <v>126</v>
      </c>
      <c r="D34" s="12">
        <f>IF(OR(B34="",C34="",C34=0),"",B34/C34)</f>
        <v/>
      </c>
      <c r="E34" s="2" t="n"/>
      <c r="F34" s="5" t="inlineStr">
        <is>
          <t>预计缺供量</t>
        </is>
      </c>
      <c r="G34" s="10" t="n">
        <v>77</v>
      </c>
      <c r="H34" s="5" t="inlineStr">
        <is>
          <t>份</t>
        </is>
      </c>
      <c r="I34" s="10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5" t="inlineStr">
        <is>
          <t>蔬菜类</t>
        </is>
      </c>
      <c r="B35" s="10" t="n">
        <v>115.915</v>
      </c>
      <c r="C35" s="10" t="n">
        <v>124</v>
      </c>
      <c r="D35" s="12">
        <f>IF(OR(B35="",C35="",C35=0),"",B35/C35)</f>
        <v/>
      </c>
      <c r="E35" s="2" t="n"/>
      <c r="F35" s="5" t="inlineStr">
        <is>
          <t>其他关键指标</t>
        </is>
      </c>
      <c r="G35" s="10" t="n"/>
      <c r="H35" s="5" t="inlineStr">
        <is>
          <t>自定义</t>
        </is>
      </c>
      <c r="I35" s="10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5" t="inlineStr">
        <is>
          <t>蛋豆类</t>
        </is>
      </c>
      <c r="B36" s="10" t="n">
        <v>64.92</v>
      </c>
      <c r="C36" s="10" t="n">
        <v>68</v>
      </c>
      <c r="D36" s="12">
        <f>IF(OR(B36="",C36="",C36=0),"",B36/C36)</f>
        <v/>
      </c>
      <c r="E36" s="2" t="n"/>
      <c r="F36" s="5" t="inlineStr">
        <is>
          <t>其他关键指标</t>
        </is>
      </c>
      <c r="G36" s="10" t="n"/>
      <c r="H36" s="5" t="inlineStr">
        <is>
          <t>自定义</t>
        </is>
      </c>
      <c r="I36" s="10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</sheetData>
  <mergeCells count="4">
    <mergeCell ref="A1:I1"/>
    <mergeCell ref="A28:D28"/>
    <mergeCell ref="A3:I3"/>
    <mergeCell ref="F28:I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1:Z60"/>
  <sheetViews>
    <sheetView tabSelected="1" workbookViewId="0">
      <selection activeCell="H6" sqref="H6"/>
    </sheetView>
  </sheetViews>
  <sheetFormatPr baseColWidth="8" defaultColWidth="9" defaultRowHeight="13.8"/>
  <cols>
    <col width="20.4" customWidth="1" style="16" min="1" max="1"/>
    <col width="15.4" customWidth="1" style="16" min="2" max="2"/>
    <col width="18" customWidth="1" style="16" min="3" max="3"/>
    <col width="17" customWidth="1" style="16" min="4" max="4"/>
    <col width="16" customWidth="1" style="16" min="5" max="5"/>
    <col width="23" customWidth="1" style="16" min="6" max="6"/>
  </cols>
  <sheetData>
    <row r="1" ht="28" customHeight="1" s="16">
      <c r="A1" s="1" t="inlineStr">
        <is>
          <t>问题3：需求不确定条件下的备餐策略结果</t>
        </is>
      </c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请填写考虑需求不确定性后的最终备餐方案。模板不限定不确定需求的描述方式，也不限定具体优化或仿真方法。</t>
        </is>
      </c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4" t="inlineStr">
        <is>
          <t>时段</t>
        </is>
      </c>
      <c r="B5" s="4" t="inlineStr">
        <is>
          <t>菜品编号</t>
        </is>
      </c>
      <c r="C5" s="4" t="inlineStr">
        <is>
          <t>菜品名称</t>
        </is>
      </c>
      <c r="D5" s="4" t="inlineStr">
        <is>
          <t>生产批次数（批）</t>
        </is>
      </c>
      <c r="E5" s="4" t="inlineStr">
        <is>
          <t>备餐量（份）</t>
        </is>
      </c>
      <c r="F5" s="4" t="inlineStr">
        <is>
          <t>相比Q2备餐量变化（份）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5" t="inlineStr">
        <is>
          <t>午餐</t>
        </is>
      </c>
      <c r="B6" s="5" t="inlineStr">
        <is>
          <t>D01</t>
        </is>
      </c>
      <c r="C6" s="5" t="inlineStr">
        <is>
          <t>宫保鸡丁</t>
        </is>
      </c>
      <c r="D6" s="6" t="n">
        <v>13</v>
      </c>
      <c r="E6" s="7" t="n">
        <v>156</v>
      </c>
      <c r="F6" s="8">
        <f>IF(OR(E6="",'Q2'!E6=""),"",E6-'Q2'!E6)</f>
        <v/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5" t="inlineStr">
        <is>
          <t>午餐</t>
        </is>
      </c>
      <c r="B7" s="5" t="inlineStr">
        <is>
          <t>D02</t>
        </is>
      </c>
      <c r="C7" s="5" t="inlineStr">
        <is>
          <t>红烧肉</t>
        </is>
      </c>
      <c r="D7" s="6" t="n">
        <v>7</v>
      </c>
      <c r="E7" s="7" t="n">
        <v>105</v>
      </c>
      <c r="F7" s="8">
        <f>IF(OR(E7="",'Q2'!E7=""),"",E7-'Q2'!E7)</f>
        <v/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5" t="inlineStr">
        <is>
          <t>午餐</t>
        </is>
      </c>
      <c r="B8" s="5" t="inlineStr">
        <is>
          <t>D03</t>
        </is>
      </c>
      <c r="C8" s="5" t="inlineStr">
        <is>
          <t>鱼香肉丝</t>
        </is>
      </c>
      <c r="D8" s="6" t="n">
        <v>13</v>
      </c>
      <c r="E8" s="7" t="n">
        <v>156</v>
      </c>
      <c r="F8" s="8">
        <f>IF(OR(E8="",'Q2'!E8=""),"",E8-'Q2'!E8)</f>
        <v/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5" t="inlineStr">
        <is>
          <t>午餐</t>
        </is>
      </c>
      <c r="B9" s="5" t="inlineStr">
        <is>
          <t>D04</t>
        </is>
      </c>
      <c r="C9" s="5" t="inlineStr">
        <is>
          <t>麻婆豆腐</t>
        </is>
      </c>
      <c r="D9" s="6" t="n">
        <v>10</v>
      </c>
      <c r="E9" s="7" t="n">
        <v>150</v>
      </c>
      <c r="F9" s="8">
        <f>IF(OR(E9="",'Q2'!E9=""),"",E9-'Q2'!E9)</f>
        <v/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5" t="inlineStr">
        <is>
          <t>午餐</t>
        </is>
      </c>
      <c r="B10" s="5" t="inlineStr">
        <is>
          <t>D05</t>
        </is>
      </c>
      <c r="C10" s="5" t="inlineStr">
        <is>
          <t>番茄炒蛋</t>
        </is>
      </c>
      <c r="D10" s="6" t="n">
        <v>12</v>
      </c>
      <c r="E10" s="7" t="n">
        <v>180</v>
      </c>
      <c r="F10" s="8">
        <f>IF(OR(E10="",'Q2'!E10=""),"",E10-'Q2'!E10)</f>
        <v/>
      </c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5" t="inlineStr">
        <is>
          <t>午餐</t>
        </is>
      </c>
      <c r="B11" s="5" t="inlineStr">
        <is>
          <t>D06</t>
        </is>
      </c>
      <c r="C11" s="5" t="inlineStr">
        <is>
          <t>青椒土豆丝</t>
        </is>
      </c>
      <c r="D11" s="6" t="n">
        <v>9</v>
      </c>
      <c r="E11" s="7" t="n">
        <v>135</v>
      </c>
      <c r="F11" s="8">
        <f>IF(OR(E11="",'Q2'!E11=""),"",E11-'Q2'!E11)</f>
        <v/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5" t="inlineStr">
        <is>
          <t>午餐</t>
        </is>
      </c>
      <c r="B12" s="5" t="inlineStr">
        <is>
          <t>D07</t>
        </is>
      </c>
      <c r="C12" s="5" t="inlineStr">
        <is>
          <t>香菇青菜</t>
        </is>
      </c>
      <c r="D12" s="6" t="n">
        <v>9</v>
      </c>
      <c r="E12" s="7" t="n">
        <v>108</v>
      </c>
      <c r="F12" s="8">
        <f>IF(OR(E12="",'Q2'!E12=""),"",E12-'Q2'!E12)</f>
        <v/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5" t="inlineStr">
        <is>
          <t>午餐</t>
        </is>
      </c>
      <c r="B13" s="5" t="inlineStr">
        <is>
          <t>D08</t>
        </is>
      </c>
      <c r="C13" s="5" t="inlineStr">
        <is>
          <t>水煮鸡片</t>
        </is>
      </c>
      <c r="D13" s="6" t="n">
        <v>11</v>
      </c>
      <c r="E13" s="7" t="n">
        <v>132</v>
      </c>
      <c r="F13" s="8">
        <f>IF(OR(E13="",'Q2'!E13=""),"",E13-'Q2'!E13)</f>
        <v/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5" t="inlineStr">
        <is>
          <t>午餐</t>
        </is>
      </c>
      <c r="B14" s="5" t="inlineStr">
        <is>
          <t>D09</t>
        </is>
      </c>
      <c r="C14" s="5" t="inlineStr">
        <is>
          <t>糖醋里脊</t>
        </is>
      </c>
      <c r="D14" s="6" t="n">
        <v>11</v>
      </c>
      <c r="E14" s="7" t="n">
        <v>110</v>
      </c>
      <c r="F14" s="8">
        <f>IF(OR(E14="",'Q2'!E14=""),"",E14-'Q2'!E14)</f>
        <v/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5" t="inlineStr">
        <is>
          <t>午餐</t>
        </is>
      </c>
      <c r="B15" s="5" t="inlineStr">
        <is>
          <t>D10</t>
        </is>
      </c>
      <c r="C15" s="5" t="inlineStr">
        <is>
          <t>西红柿牛腩</t>
        </is>
      </c>
      <c r="D15" s="6" t="n">
        <v>6</v>
      </c>
      <c r="E15" s="7" t="n">
        <v>90</v>
      </c>
      <c r="F15" s="8">
        <f>IF(OR(E15="",'Q2'!E15=""),"",E15-'Q2'!E15)</f>
        <v/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5" t="inlineStr">
        <is>
          <t>晚餐</t>
        </is>
      </c>
      <c r="B16" s="5" t="inlineStr">
        <is>
          <t>D01</t>
        </is>
      </c>
      <c r="C16" s="5" t="inlineStr">
        <is>
          <t>宫保鸡丁</t>
        </is>
      </c>
      <c r="D16" s="6" t="n">
        <v>11</v>
      </c>
      <c r="E16" s="7" t="n">
        <v>132</v>
      </c>
      <c r="F16" s="8">
        <f>IF(OR(E16="",'Q2'!E16=""),"",E16-'Q2'!E16)</f>
        <v/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5" t="inlineStr">
        <is>
          <t>晚餐</t>
        </is>
      </c>
      <c r="B17" s="5" t="inlineStr">
        <is>
          <t>D02</t>
        </is>
      </c>
      <c r="C17" s="5" t="inlineStr">
        <is>
          <t>红烧肉</t>
        </is>
      </c>
      <c r="D17" s="6" t="n">
        <v>5</v>
      </c>
      <c r="E17" s="7" t="n">
        <v>75</v>
      </c>
      <c r="F17" s="8">
        <f>IF(OR(E17="",'Q2'!E17=""),"",E17-'Q2'!E17)</f>
        <v/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5" t="inlineStr">
        <is>
          <t>晚餐</t>
        </is>
      </c>
      <c r="B18" s="5" t="inlineStr">
        <is>
          <t>D03</t>
        </is>
      </c>
      <c r="C18" s="5" t="inlineStr">
        <is>
          <t>鱼香肉丝</t>
        </is>
      </c>
      <c r="D18" s="6" t="n">
        <v>10</v>
      </c>
      <c r="E18" s="7" t="n">
        <v>120</v>
      </c>
      <c r="F18" s="8">
        <f>IF(OR(E18="",'Q2'!E18=""),"",E18-'Q2'!E18)</f>
        <v/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5" t="inlineStr">
        <is>
          <t>晚餐</t>
        </is>
      </c>
      <c r="B19" s="5" t="inlineStr">
        <is>
          <t>D04</t>
        </is>
      </c>
      <c r="C19" s="5" t="inlineStr">
        <is>
          <t>麻婆豆腐</t>
        </is>
      </c>
      <c r="D19" s="6" t="n">
        <v>9</v>
      </c>
      <c r="E19" s="7" t="n">
        <v>135</v>
      </c>
      <c r="F19" s="8">
        <f>IF(OR(E19="",'Q2'!E19=""),"",E19-'Q2'!E19)</f>
        <v/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5" t="inlineStr">
        <is>
          <t>晚餐</t>
        </is>
      </c>
      <c r="B20" s="5" t="inlineStr">
        <is>
          <t>D05</t>
        </is>
      </c>
      <c r="C20" s="5" t="inlineStr">
        <is>
          <t>番茄炒蛋</t>
        </is>
      </c>
      <c r="D20" s="6" t="n">
        <v>10</v>
      </c>
      <c r="E20" s="7" t="n">
        <v>150</v>
      </c>
      <c r="F20" s="8">
        <f>IF(OR(E20="",'Q2'!E20=""),"",E20-'Q2'!E20)</f>
        <v/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5" t="inlineStr">
        <is>
          <t>晚餐</t>
        </is>
      </c>
      <c r="B21" s="5" t="inlineStr">
        <is>
          <t>D06</t>
        </is>
      </c>
      <c r="C21" s="5" t="inlineStr">
        <is>
          <t>青椒土豆丝</t>
        </is>
      </c>
      <c r="D21" s="6" t="n">
        <v>7</v>
      </c>
      <c r="E21" s="7" t="n">
        <v>105</v>
      </c>
      <c r="F21" s="8">
        <f>IF(OR(E21="",'Q2'!E21=""),"",E21-'Q2'!E21)</f>
        <v/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>
      <c r="A22" s="5" t="inlineStr">
        <is>
          <t>晚餐</t>
        </is>
      </c>
      <c r="B22" s="5" t="inlineStr">
        <is>
          <t>D07</t>
        </is>
      </c>
      <c r="C22" s="5" t="inlineStr">
        <is>
          <t>香菇青菜</t>
        </is>
      </c>
      <c r="D22" s="6" t="n">
        <v>7</v>
      </c>
      <c r="E22" s="7" t="n">
        <v>84</v>
      </c>
      <c r="F22" s="8">
        <f>IF(OR(E22="",'Q2'!E22=""),"",E22-'Q2'!E22)</f>
        <v/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>
      <c r="A23" s="5" t="inlineStr">
        <is>
          <t>晚餐</t>
        </is>
      </c>
      <c r="B23" s="5" t="inlineStr">
        <is>
          <t>D08</t>
        </is>
      </c>
      <c r="C23" s="5" t="inlineStr">
        <is>
          <t>水煮鸡片</t>
        </is>
      </c>
      <c r="D23" s="6" t="n">
        <v>9</v>
      </c>
      <c r="E23" s="7" t="n">
        <v>108</v>
      </c>
      <c r="F23" s="8">
        <f>IF(OR(E23="",'Q2'!E23=""),"",E23-'Q2'!E23)</f>
        <v/>
      </c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>
      <c r="A24" s="5" t="inlineStr">
        <is>
          <t>晚餐</t>
        </is>
      </c>
      <c r="B24" s="5" t="inlineStr">
        <is>
          <t>D09</t>
        </is>
      </c>
      <c r="C24" s="5" t="inlineStr">
        <is>
          <t>糖醋里脊</t>
        </is>
      </c>
      <c r="D24" s="6" t="n">
        <v>9</v>
      </c>
      <c r="E24" s="7" t="n">
        <v>90</v>
      </c>
      <c r="F24" s="8">
        <f>IF(OR(E24="",'Q2'!E24=""),"",E24-'Q2'!E24)</f>
        <v/>
      </c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>
      <c r="A25" s="5" t="inlineStr">
        <is>
          <t>晚餐</t>
        </is>
      </c>
      <c r="B25" s="5" t="inlineStr">
        <is>
          <t>D10</t>
        </is>
      </c>
      <c r="C25" s="5" t="inlineStr">
        <is>
          <t>西红柿牛腩</t>
        </is>
      </c>
      <c r="D25" s="6" t="n">
        <v>5</v>
      </c>
      <c r="E25" s="7" t="n">
        <v>75</v>
      </c>
      <c r="F25" s="8">
        <f>IF(OR(E25="",'Q2'!E25=""),"",E25-'Q2'!E25)</f>
        <v/>
      </c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9" t="inlineStr">
        <is>
          <t>问题2与问题3方案比较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4" t="inlineStr">
        <is>
          <t>指标</t>
        </is>
      </c>
      <c r="B29" s="4" t="inlineStr">
        <is>
          <t>问题2方案</t>
        </is>
      </c>
      <c r="C29" s="4" t="inlineStr">
        <is>
          <t>问题3方案</t>
        </is>
      </c>
      <c r="D29" s="4" t="inlineStr">
        <is>
          <t>变化量（Q3-Q2）</t>
        </is>
      </c>
      <c r="E29" s="4" t="inlineStr">
        <is>
          <t>单位</t>
        </is>
      </c>
      <c r="F29" s="4" t="inlineStr">
        <is>
          <t>备注</t>
        </is>
      </c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5" t="inlineStr">
        <is>
          <t>综合经营效益</t>
        </is>
      </c>
      <c r="B30" s="10" t="n">
        <v>14328.2</v>
      </c>
      <c r="C30" s="10" t="n">
        <v>13375.96</v>
      </c>
      <c r="D30" s="11">
        <f>IF(OR(B30="",C30=""),"",C30-B30)</f>
        <v/>
      </c>
      <c r="E30" s="5" t="inlineStr">
        <is>
          <t>元/自定义等价单位</t>
        </is>
      </c>
      <c r="F30" s="10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5" t="inlineStr">
        <is>
          <t>菜品剩余量</t>
        </is>
      </c>
      <c r="B31" s="10" t="n">
        <v>23</v>
      </c>
      <c r="C31" s="10" t="n">
        <v>77.02</v>
      </c>
      <c r="D31" s="11">
        <f>IF(OR(B31="",C31=""),"",C31-B31)</f>
        <v/>
      </c>
      <c r="E31" s="5" t="inlineStr">
        <is>
          <t>份</t>
        </is>
      </c>
      <c r="F31" s="10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5" t="inlineStr">
        <is>
          <t>菜品缺供量</t>
        </is>
      </c>
      <c r="B32" s="10" t="n">
        <v>77</v>
      </c>
      <c r="C32" s="10" t="n">
        <v>133.68</v>
      </c>
      <c r="D32" s="11">
        <f>IF(OR(B32="",C32=""),"",C32-B32)</f>
        <v/>
      </c>
      <c r="E32" s="5" t="inlineStr">
        <is>
          <t>份</t>
        </is>
      </c>
      <c r="F32" s="10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5" t="inlineStr">
        <is>
          <t>服务水平/满足率（如采用）</t>
        </is>
      </c>
      <c r="B33" s="7" t="n">
        <v>96.86</v>
      </c>
      <c r="C33" s="7" t="n">
        <v>94.55</v>
      </c>
      <c r="D33" s="8">
        <f>IF(OR(B33="",C33=""),"",C33-B33)</f>
        <v/>
      </c>
      <c r="E33" s="5" t="inlineStr">
        <is>
          <t>%</t>
        </is>
      </c>
      <c r="F33" s="10" t="inlineStr">
        <is>
          <t>可选</t>
        </is>
      </c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5" t="inlineStr">
        <is>
          <t>效益标准差(元)</t>
        </is>
      </c>
      <c r="B34" s="7" t="n">
        <v>0</v>
      </c>
      <c r="C34" s="7" t="n">
        <v>1499.51</v>
      </c>
      <c r="D34" s="8">
        <f>IF(OR(B34="",C34=""),"",C34-B34)</f>
        <v/>
      </c>
      <c r="E34" s="5" t="inlineStr">
        <is>
          <t>元</t>
        </is>
      </c>
      <c r="F34" s="10" t="inlineStr">
        <is>
          <t>可选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5" t="inlineStr">
        <is>
          <t>5%分位效益VaR5%(元)</t>
        </is>
      </c>
      <c r="B35" s="7" t="n">
        <v>14328.2</v>
      </c>
      <c r="C35" s="7" t="n">
        <v>10624.98</v>
      </c>
      <c r="D35" s="8">
        <f>IF(OR(B35="",C35=""),"",C35-B35)</f>
        <v/>
      </c>
      <c r="E35" s="5" t="inlineStr">
        <is>
          <t>元</t>
        </is>
      </c>
      <c r="F35" s="10" t="inlineStr">
        <is>
          <t>可选</t>
        </is>
      </c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>
      <c r="A38" s="3" t="inlineStr">
        <is>
          <t>提示：若所采用的不确定性模型产生的是期望值、分位数、最坏情形值或其他统计量，请在论文正文及“备注”中明确口径。</t>
        </is>
      </c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</sheetData>
  <mergeCells count="4">
    <mergeCell ref="A3:F3"/>
    <mergeCell ref="A28:F28"/>
    <mergeCell ref="A1:F1"/>
    <mergeCell ref="A38:F40"/>
  </mergeCells>
  <conditionalFormatting sqref="F6:F25">
    <cfRule type="cellIs" priority="1" operator="lessThan" dxfId="0">
      <formula>0</formula>
    </cfRule>
    <cfRule type="cellIs" priority="2" operator="greaterThan" dxfId="1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2026-08-09T04:19:54Z</dcterms:created>
  <dcterms:modified xsi:type="dcterms:W3CDTF">2026-08-16T08:41:59Z</dcterms:modified>
  <cp:lastModifiedBy>风正向北吹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A4056FD5EAA743F68413ED0D17800FD3_12</vt:lpwstr>
  </property>
  <property name="KSOProductBuildVer" fmtid="{D5CDD505-2E9C-101B-9397-08002B2CF9AE}" pid="3">
    <vt:lpwstr>2052-12.1.0.28043</vt:lpwstr>
  </property>
  <property name="CalculationRule" fmtid="{D5CDD505-2E9C-101B-9397-08002B2CF9AE}" pid="4">
    <vt:i4>0</vt:i4>
  </property>
</Properties>
</file>